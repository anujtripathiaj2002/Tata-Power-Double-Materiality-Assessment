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nuj Tripathi\Downloads\Tata Powe DMA Project\"/>
    </mc:Choice>
  </mc:AlternateContent>
  <xr:revisionPtr revIDLastSave="0" documentId="13_ncr:1_{AD9D9CF0-4C37-442F-9E92-77B2A45912C9}" xr6:coauthVersionLast="47" xr6:coauthVersionMax="47" xr10:uidLastSave="{00000000-0000-0000-0000-000000000000}"/>
  <bookViews>
    <workbookView xWindow="-108" yWindow="-108" windowWidth="23256" windowHeight="12456" tabRatio="752" xr2:uid="{00000000-000D-0000-FFFF-FFFF00000000}"/>
  </bookViews>
  <sheets>
    <sheet name="Dashboard" sheetId="1" r:id="rId1"/>
    <sheet name="Company Context" sheetId="3" r:id="rId2"/>
    <sheet name="ESG Issue Universe" sheetId="4" r:id="rId3"/>
    <sheet name="Evidence Database" sheetId="5" r:id="rId4"/>
    <sheet name="Scoring Methodology" sheetId="6" r:id="rId5"/>
    <sheet name="Impact Scoring" sheetId="7" r:id="rId6"/>
    <sheet name="Financial Methodology" sheetId="8" r:id="rId7"/>
    <sheet name="Financial Scoring" sheetId="9" r:id="rId8"/>
    <sheet name="DMA Matrix" sheetId="10" r:id="rId9"/>
    <sheet name="IRO &amp; Recommendations" sheetId="11" r:id="rId10"/>
    <sheet name="Benchmark" sheetId="13" r:id="rId11"/>
    <sheet name="DMA Quality Scorecard" sheetId="14"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1" i="1" l="1"/>
  <c r="F7" i="9"/>
  <c r="F7" i="10" s="1"/>
  <c r="D35" i="13" s="1"/>
  <c r="C35" i="13"/>
  <c r="C33" i="13"/>
  <c r="B5" i="10"/>
  <c r="J5" i="7"/>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5" i="5"/>
  <c r="F5" i="9"/>
  <c r="C6" i="13"/>
  <c r="C10" i="13"/>
  <c r="C11" i="13"/>
  <c r="C12" i="13"/>
  <c r="F21" i="14"/>
  <c r="F22" i="14" s="1"/>
  <c r="F23" i="14" s="1"/>
  <c r="D21" i="14"/>
  <c r="D22" i="14" s="1"/>
  <c r="D23" i="14" s="1"/>
  <c r="G20" i="14"/>
  <c r="G19" i="14"/>
  <c r="G18" i="14"/>
  <c r="G17" i="14"/>
  <c r="G16" i="14"/>
  <c r="G15" i="14"/>
  <c r="G14" i="14"/>
  <c r="G13" i="14"/>
  <c r="G12" i="14"/>
  <c r="G11" i="14"/>
  <c r="G10" i="14"/>
  <c r="G9" i="14"/>
  <c r="B61" i="13"/>
  <c r="O41" i="13"/>
  <c r="P41" i="13" s="1"/>
  <c r="B41" i="13"/>
  <c r="Q41" i="13" s="1"/>
  <c r="S41" i="13" s="1"/>
  <c r="O40" i="13"/>
  <c r="P40" i="13" s="1"/>
  <c r="B40" i="13"/>
  <c r="Q40" i="13" s="1"/>
  <c r="D34" i="13"/>
  <c r="C34" i="10"/>
  <c r="B34" i="10"/>
  <c r="C33" i="10"/>
  <c r="B33" i="10"/>
  <c r="F32" i="10"/>
  <c r="C32" i="10"/>
  <c r="B60" i="13" s="1"/>
  <c r="B32" i="10"/>
  <c r="G31" i="10"/>
  <c r="C31" i="10"/>
  <c r="B59" i="13" s="1"/>
  <c r="B31" i="10"/>
  <c r="D30" i="10"/>
  <c r="C30" i="10"/>
  <c r="B30" i="10"/>
  <c r="F29" i="10"/>
  <c r="D57" i="13" s="1"/>
  <c r="C29" i="10"/>
  <c r="B57" i="13" s="1"/>
  <c r="B29" i="10"/>
  <c r="C28" i="10"/>
  <c r="B56" i="13" s="1"/>
  <c r="B28" i="10"/>
  <c r="C27" i="10"/>
  <c r="B55" i="13" s="1"/>
  <c r="B27" i="10"/>
  <c r="C26" i="10"/>
  <c r="B54" i="13" s="1"/>
  <c r="B26" i="10"/>
  <c r="F25" i="10"/>
  <c r="D53" i="13" s="1"/>
  <c r="C25" i="10"/>
  <c r="B53" i="13" s="1"/>
  <c r="B25" i="10"/>
  <c r="G24" i="10"/>
  <c r="C24" i="10"/>
  <c r="B52" i="13" s="1"/>
  <c r="B24" i="10"/>
  <c r="F23" i="10"/>
  <c r="D51" i="13" s="1"/>
  <c r="C23" i="10"/>
  <c r="B51" i="13" s="1"/>
  <c r="B23" i="10"/>
  <c r="C22" i="10"/>
  <c r="B50" i="13" s="1"/>
  <c r="B22" i="10"/>
  <c r="F21" i="10"/>
  <c r="D49" i="13" s="1"/>
  <c r="D21" i="10"/>
  <c r="C21" i="10"/>
  <c r="B21" i="10"/>
  <c r="C20" i="10"/>
  <c r="B48" i="13" s="1"/>
  <c r="B20" i="10"/>
  <c r="D19" i="10"/>
  <c r="C19" i="10"/>
  <c r="B47" i="13" s="1"/>
  <c r="B19" i="10"/>
  <c r="C18" i="10"/>
  <c r="B18" i="10"/>
  <c r="C17" i="10"/>
  <c r="B17" i="10"/>
  <c r="F16" i="10"/>
  <c r="D44" i="13" s="1"/>
  <c r="D16" i="10"/>
  <c r="C16" i="10"/>
  <c r="B44" i="13" s="1"/>
  <c r="B16" i="10"/>
  <c r="C15" i="10"/>
  <c r="B43" i="13" s="1"/>
  <c r="B15" i="10"/>
  <c r="G14" i="10"/>
  <c r="F14" i="10"/>
  <c r="C14" i="10"/>
  <c r="B14" i="10"/>
  <c r="C13" i="10"/>
  <c r="B13" i="10"/>
  <c r="C12" i="10"/>
  <c r="B12" i="10"/>
  <c r="G11" i="10"/>
  <c r="F11" i="10"/>
  <c r="C11" i="10"/>
  <c r="B39" i="13" s="1"/>
  <c r="B11" i="10"/>
  <c r="D10" i="10"/>
  <c r="C38" i="13" s="1"/>
  <c r="C10" i="10"/>
  <c r="B38" i="13" s="1"/>
  <c r="B10" i="10"/>
  <c r="E9" i="10"/>
  <c r="C9" i="10"/>
  <c r="B37" i="13" s="1"/>
  <c r="B9" i="10"/>
  <c r="F8" i="10"/>
  <c r="C8" i="10"/>
  <c r="B36" i="13" s="1"/>
  <c r="B8" i="10"/>
  <c r="E7" i="10"/>
  <c r="D7" i="10"/>
  <c r="C7" i="10"/>
  <c r="B35" i="13" s="1"/>
  <c r="B7" i="10"/>
  <c r="G6" i="10"/>
  <c r="D6" i="10"/>
  <c r="C6" i="10"/>
  <c r="B34" i="13" s="1"/>
  <c r="B6" i="10"/>
  <c r="C5" i="10"/>
  <c r="F34" i="9"/>
  <c r="F34" i="10" s="1"/>
  <c r="F33" i="9"/>
  <c r="G32" i="9"/>
  <c r="G32" i="10" s="1"/>
  <c r="F32" i="9"/>
  <c r="G31" i="9"/>
  <c r="F31" i="9"/>
  <c r="F31" i="10" s="1"/>
  <c r="F30" i="9"/>
  <c r="G29" i="9"/>
  <c r="G29" i="10" s="1"/>
  <c r="F29" i="9"/>
  <c r="F28" i="9"/>
  <c r="F27" i="9"/>
  <c r="G27" i="9" s="1"/>
  <c r="G27" i="10" s="1"/>
  <c r="G26" i="9"/>
  <c r="G26" i="10" s="1"/>
  <c r="F26" i="9"/>
  <c r="F26" i="10" s="1"/>
  <c r="D54" i="13" s="1"/>
  <c r="F25" i="9"/>
  <c r="G25" i="9" s="1"/>
  <c r="G25" i="10" s="1"/>
  <c r="G24" i="9"/>
  <c r="F24" i="9"/>
  <c r="F24" i="10" s="1"/>
  <c r="D52" i="13" s="1"/>
  <c r="G23" i="9"/>
  <c r="G23" i="10" s="1"/>
  <c r="F23" i="9"/>
  <c r="F22" i="9"/>
  <c r="G22" i="9" s="1"/>
  <c r="G22" i="10" s="1"/>
  <c r="F21" i="9"/>
  <c r="G21" i="9" s="1"/>
  <c r="G21" i="10" s="1"/>
  <c r="G20" i="9"/>
  <c r="G20" i="10" s="1"/>
  <c r="F20" i="9"/>
  <c r="F20" i="10" s="1"/>
  <c r="F19" i="9"/>
  <c r="F19" i="10" s="1"/>
  <c r="F18" i="9"/>
  <c r="F18" i="10" s="1"/>
  <c r="D46" i="13" s="1"/>
  <c r="F17" i="9"/>
  <c r="G16" i="9"/>
  <c r="G16" i="10" s="1"/>
  <c r="F16" i="9"/>
  <c r="F15" i="9"/>
  <c r="F15" i="10" s="1"/>
  <c r="G14" i="9"/>
  <c r="F14" i="9"/>
  <c r="F13" i="9"/>
  <c r="G13" i="9" s="1"/>
  <c r="G13" i="10" s="1"/>
  <c r="G12" i="9"/>
  <c r="G12" i="10" s="1"/>
  <c r="F12" i="9"/>
  <c r="F12" i="10" s="1"/>
  <c r="F11" i="9"/>
  <c r="G11" i="9" s="1"/>
  <c r="F10" i="9"/>
  <c r="F9" i="9"/>
  <c r="G8" i="9"/>
  <c r="G8" i="10" s="1"/>
  <c r="F8" i="9"/>
  <c r="G6" i="9"/>
  <c r="F6" i="9"/>
  <c r="F6" i="10" s="1"/>
  <c r="G5" i="9"/>
  <c r="G5" i="10" s="1"/>
  <c r="J34" i="7"/>
  <c r="D34" i="10" s="1"/>
  <c r="J33" i="7"/>
  <c r="D33" i="10" s="1"/>
  <c r="C61" i="13" s="1"/>
  <c r="J32" i="7"/>
  <c r="D32" i="10" s="1"/>
  <c r="J31" i="7"/>
  <c r="J30" i="7"/>
  <c r="K30" i="7" s="1"/>
  <c r="E30" i="10" s="1"/>
  <c r="J29" i="7"/>
  <c r="D29" i="10" s="1"/>
  <c r="J28" i="7"/>
  <c r="D28" i="10" s="1"/>
  <c r="C56" i="13" s="1"/>
  <c r="J27" i="7"/>
  <c r="D27" i="10" s="1"/>
  <c r="J26" i="7"/>
  <c r="K26" i="7" s="1"/>
  <c r="E26" i="10" s="1"/>
  <c r="J25" i="7"/>
  <c r="D25" i="10" s="1"/>
  <c r="J24" i="7"/>
  <c r="J23" i="7"/>
  <c r="J22" i="7"/>
  <c r="D22" i="10" s="1"/>
  <c r="C50" i="13" s="1"/>
  <c r="J21" i="7"/>
  <c r="K21" i="7" s="1"/>
  <c r="E21" i="10" s="1"/>
  <c r="J20" i="7"/>
  <c r="D20" i="10" s="1"/>
  <c r="J19" i="7"/>
  <c r="K19" i="7" s="1"/>
  <c r="E19" i="10" s="1"/>
  <c r="J18" i="7"/>
  <c r="D18" i="10" s="1"/>
  <c r="C46" i="13" s="1"/>
  <c r="J17" i="7"/>
  <c r="D17" i="10" s="1"/>
  <c r="K16" i="7"/>
  <c r="E16" i="10" s="1"/>
  <c r="J16" i="7"/>
  <c r="J15" i="7"/>
  <c r="K15" i="7" s="1"/>
  <c r="E15" i="10" s="1"/>
  <c r="J14" i="7"/>
  <c r="K14" i="7" s="1"/>
  <c r="E14" i="10" s="1"/>
  <c r="J13" i="7"/>
  <c r="D13" i="10" s="1"/>
  <c r="J12" i="7"/>
  <c r="J11" i="7"/>
  <c r="K11" i="7" s="1"/>
  <c r="E11" i="10" s="1"/>
  <c r="J10" i="7"/>
  <c r="K10" i="7" s="1"/>
  <c r="E10" i="10" s="1"/>
  <c r="J9" i="7"/>
  <c r="K9" i="7" s="1"/>
  <c r="J8" i="7"/>
  <c r="D8" i="10" s="1"/>
  <c r="C36" i="13" s="1"/>
  <c r="J7" i="7"/>
  <c r="K7" i="7" s="1"/>
  <c r="J6" i="7"/>
  <c r="K6" i="7" s="1"/>
  <c r="E6" i="10" s="1"/>
  <c r="K5" i="7"/>
  <c r="E5" i="10" s="1"/>
  <c r="E37" i="1"/>
  <c r="A5" i="1"/>
  <c r="G7" i="9" l="1"/>
  <c r="G7" i="10" s="1"/>
  <c r="H34" i="10"/>
  <c r="C34" i="11" s="1"/>
  <c r="K27" i="7"/>
  <c r="E27" i="10" s="1"/>
  <c r="K17" i="7"/>
  <c r="E17" i="10" s="1"/>
  <c r="K28" i="7"/>
  <c r="E28" i="10" s="1"/>
  <c r="K8" i="7"/>
  <c r="E8" i="10" s="1"/>
  <c r="K20" i="7"/>
  <c r="E20" i="10" s="1"/>
  <c r="D14" i="10"/>
  <c r="H14" i="10" s="1"/>
  <c r="K22" i="7"/>
  <c r="E22" i="10" s="1"/>
  <c r="K33" i="7"/>
  <c r="E33" i="10" s="1"/>
  <c r="D5" i="10"/>
  <c r="D9" i="10"/>
  <c r="C37" i="13" s="1"/>
  <c r="K34" i="7"/>
  <c r="E34" i="10" s="1"/>
  <c r="K25" i="7"/>
  <c r="E25" i="10" s="1"/>
  <c r="D15" i="10"/>
  <c r="C43" i="13" s="1"/>
  <c r="E46" i="13"/>
  <c r="H20" i="10"/>
  <c r="C48" i="13"/>
  <c r="K29" i="7"/>
  <c r="E29" i="10" s="1"/>
  <c r="G9" i="9"/>
  <c r="G9" i="10" s="1"/>
  <c r="F9" i="10"/>
  <c r="B49" i="13"/>
  <c r="B45" i="13"/>
  <c r="S40" i="13"/>
  <c r="G10" i="9"/>
  <c r="G10" i="10" s="1"/>
  <c r="F10" i="10"/>
  <c r="D42" i="13"/>
  <c r="K12" i="7"/>
  <c r="E12" i="10" s="1"/>
  <c r="D12" i="10"/>
  <c r="H21" i="10"/>
  <c r="D36" i="13"/>
  <c r="E36" i="13" s="1"/>
  <c r="F27" i="10"/>
  <c r="H27" i="10" s="1"/>
  <c r="H29" i="10"/>
  <c r="C57" i="13"/>
  <c r="G19" i="9"/>
  <c r="G19" i="10" s="1"/>
  <c r="C49" i="13"/>
  <c r="D11" i="10"/>
  <c r="C55" i="13"/>
  <c r="G17" i="9"/>
  <c r="G17" i="10" s="1"/>
  <c r="F17" i="10"/>
  <c r="B42" i="13"/>
  <c r="H18" i="10"/>
  <c r="G18" i="9"/>
  <c r="G18" i="10" s="1"/>
  <c r="F28" i="10"/>
  <c r="H28" i="10" s="1"/>
  <c r="G28" i="9"/>
  <c r="G28" i="10" s="1"/>
  <c r="D47" i="13"/>
  <c r="T46" i="13"/>
  <c r="H46" i="13"/>
  <c r="C60" i="13"/>
  <c r="H32" i="10"/>
  <c r="D39" i="13"/>
  <c r="D48" i="13"/>
  <c r="K32" i="7"/>
  <c r="E32" i="10" s="1"/>
  <c r="D24" i="10"/>
  <c r="K24" i="7"/>
  <c r="E24" i="10" s="1"/>
  <c r="E35" i="13"/>
  <c r="H35" i="13"/>
  <c r="D60" i="13"/>
  <c r="H25" i="10"/>
  <c r="C53" i="13"/>
  <c r="C47" i="13"/>
  <c r="G30" i="9"/>
  <c r="G30" i="10" s="1"/>
  <c r="F30" i="10"/>
  <c r="H30" i="10" s="1"/>
  <c r="D40" i="13"/>
  <c r="G33" i="9"/>
  <c r="G33" i="10" s="1"/>
  <c r="F33" i="10"/>
  <c r="D43" i="13"/>
  <c r="D62" i="13"/>
  <c r="D26" i="10"/>
  <c r="C44" i="13"/>
  <c r="K31" i="7"/>
  <c r="E31" i="10" s="1"/>
  <c r="D31" i="10"/>
  <c r="H8" i="10"/>
  <c r="C45" i="13"/>
  <c r="G15" i="9"/>
  <c r="G15" i="10" s="1"/>
  <c r="G34" i="9"/>
  <c r="G34" i="10" s="1"/>
  <c r="H7" i="10"/>
  <c r="F13" i="10"/>
  <c r="H13" i="10" s="1"/>
  <c r="H19" i="10"/>
  <c r="C41" i="13"/>
  <c r="K13" i="7"/>
  <c r="E13" i="10" s="1"/>
  <c r="K23" i="7"/>
  <c r="E23" i="10" s="1"/>
  <c r="D23" i="10"/>
  <c r="B58" i="13"/>
  <c r="B33" i="13"/>
  <c r="H16" i="10"/>
  <c r="C58" i="13"/>
  <c r="C62" i="13"/>
  <c r="F5" i="10"/>
  <c r="D33" i="13" s="1"/>
  <c r="F22" i="10"/>
  <c r="H22" i="10" s="1"/>
  <c r="B62" i="13"/>
  <c r="B46" i="13"/>
  <c r="K18" i="7"/>
  <c r="E18" i="10" s="1"/>
  <c r="D59" i="13"/>
  <c r="C34" i="13"/>
  <c r="H6" i="10"/>
  <c r="G21" i="14"/>
  <c r="E33" i="13" l="1"/>
  <c r="C42" i="13"/>
  <c r="H42" i="13" s="1"/>
  <c r="H15" i="10"/>
  <c r="H9" i="10"/>
  <c r="C9" i="11" s="1"/>
  <c r="H5" i="10"/>
  <c r="C5" i="11" s="1"/>
  <c r="C39" i="13"/>
  <c r="H11" i="10"/>
  <c r="E43" i="13"/>
  <c r="H43" i="13"/>
  <c r="D61" i="13"/>
  <c r="H36" i="13"/>
  <c r="H57" i="13"/>
  <c r="E57" i="13"/>
  <c r="C14" i="11"/>
  <c r="H34" i="13"/>
  <c r="E34" i="13"/>
  <c r="D50" i="13"/>
  <c r="C8" i="11"/>
  <c r="H48" i="13"/>
  <c r="E48" i="13"/>
  <c r="C16" i="11"/>
  <c r="H24" i="10"/>
  <c r="C52" i="13"/>
  <c r="H33" i="10"/>
  <c r="H10" i="10"/>
  <c r="D38" i="13"/>
  <c r="C22" i="11"/>
  <c r="D58" i="13"/>
  <c r="H58" i="13" s="1"/>
  <c r="C29" i="11"/>
  <c r="E47" i="13"/>
  <c r="H47" i="13"/>
  <c r="D55" i="13"/>
  <c r="E55" i="13" s="1"/>
  <c r="C20" i="11"/>
  <c r="C25" i="11"/>
  <c r="C30" i="11"/>
  <c r="C59" i="13"/>
  <c r="H31" i="10"/>
  <c r="C19" i="11"/>
  <c r="H49" i="13"/>
  <c r="E49" i="13"/>
  <c r="H33" i="13"/>
  <c r="C13" i="11"/>
  <c r="D41" i="13"/>
  <c r="H41" i="13" s="1"/>
  <c r="C27" i="11"/>
  <c r="C21" i="11"/>
  <c r="C6" i="11"/>
  <c r="C28" i="11"/>
  <c r="H26" i="10"/>
  <c r="C54" i="13"/>
  <c r="C40" i="13"/>
  <c r="H12" i="10"/>
  <c r="T62" i="13"/>
  <c r="E62" i="13"/>
  <c r="H62" i="13"/>
  <c r="C32" i="11"/>
  <c r="E42" i="13"/>
  <c r="D45" i="13"/>
  <c r="E45" i="13" s="1"/>
  <c r="H17" i="10"/>
  <c r="D37" i="13"/>
  <c r="C15" i="11"/>
  <c r="C51" i="13"/>
  <c r="H23" i="10"/>
  <c r="K11" i="10" s="1"/>
  <c r="C7" i="11"/>
  <c r="H44" i="13"/>
  <c r="E44" i="13"/>
  <c r="D56" i="13"/>
  <c r="H53" i="13"/>
  <c r="E53" i="13"/>
  <c r="C18" i="11"/>
  <c r="H60" i="13"/>
  <c r="E60" i="13"/>
  <c r="K10" i="1" l="1"/>
  <c r="K8" i="10"/>
  <c r="E41" i="13"/>
  <c r="H45" i="13"/>
  <c r="H37" i="13"/>
  <c r="E37" i="13"/>
  <c r="H55" i="13"/>
  <c r="E58" i="13"/>
  <c r="C17" i="11"/>
  <c r="C10" i="11"/>
  <c r="H61" i="13"/>
  <c r="E61" i="13"/>
  <c r="K10" i="10"/>
  <c r="K9" i="10"/>
  <c r="C24" i="11"/>
  <c r="H40" i="13"/>
  <c r="E40" i="13"/>
  <c r="H54" i="13"/>
  <c r="E54" i="13"/>
  <c r="D5" i="1"/>
  <c r="E39" i="13"/>
  <c r="H39" i="13"/>
  <c r="K11" i="1"/>
  <c r="C33" i="11"/>
  <c r="E51" i="13"/>
  <c r="H51" i="13"/>
  <c r="M5" i="1"/>
  <c r="A28" i="1" s="1"/>
  <c r="E56" i="13"/>
  <c r="H56" i="13"/>
  <c r="H52" i="13"/>
  <c r="E52" i="13"/>
  <c r="C12" i="11"/>
  <c r="G5" i="1"/>
  <c r="C31" i="11"/>
  <c r="H38" i="13"/>
  <c r="E38" i="13"/>
  <c r="C11" i="11"/>
  <c r="C23" i="11"/>
  <c r="J5" i="1"/>
  <c r="E59" i="13"/>
  <c r="H59" i="13"/>
  <c r="E50" i="13"/>
  <c r="H50" i="13"/>
  <c r="C26" i="11"/>
  <c r="K12" i="1"/>
  <c r="A30" i="1" s="1"/>
  <c r="F33" i="13" l="1"/>
  <c r="F43" i="13"/>
  <c r="R43" i="13" s="1"/>
  <c r="F57" i="13"/>
  <c r="R57" i="13" s="1"/>
  <c r="F46" i="13"/>
  <c r="R46" i="13" s="1"/>
  <c r="F40" i="13"/>
  <c r="G40" i="13" s="1"/>
  <c r="F45" i="13"/>
  <c r="F58" i="13"/>
  <c r="F50" i="13"/>
  <c r="F38" i="13"/>
  <c r="F60" i="13"/>
  <c r="F47" i="13"/>
  <c r="F36" i="13"/>
  <c r="F59" i="13"/>
  <c r="F54" i="13"/>
  <c r="F49" i="13"/>
  <c r="F52" i="13"/>
  <c r="F42" i="13"/>
  <c r="F35" i="13"/>
  <c r="F56" i="13"/>
  <c r="F39" i="13"/>
  <c r="F41" i="13"/>
  <c r="A29" i="1"/>
  <c r="F44" i="13"/>
  <c r="F48" i="13"/>
  <c r="F62" i="13"/>
  <c r="F53" i="13"/>
  <c r="F34" i="13"/>
  <c r="F51" i="13"/>
  <c r="F55" i="13"/>
  <c r="F37" i="13"/>
  <c r="F61" i="13"/>
  <c r="G43" i="13" l="1"/>
  <c r="G57" i="13"/>
  <c r="O57" i="13" s="1"/>
  <c r="R40" i="13"/>
  <c r="G46" i="13"/>
  <c r="O46" i="13" s="1"/>
  <c r="R54" i="13"/>
  <c r="G54" i="13"/>
  <c r="R59" i="13"/>
  <c r="G59" i="13"/>
  <c r="G47" i="13"/>
  <c r="R47" i="13"/>
  <c r="R61" i="13"/>
  <c r="G61" i="13"/>
  <c r="G38" i="13"/>
  <c r="R38" i="13"/>
  <c r="R50" i="13"/>
  <c r="G50" i="13"/>
  <c r="O50" i="13" s="1"/>
  <c r="R51" i="13"/>
  <c r="G51" i="13"/>
  <c r="G35" i="13"/>
  <c r="R35" i="13"/>
  <c r="R58" i="13"/>
  <c r="G58" i="13"/>
  <c r="G60" i="13"/>
  <c r="R60" i="13"/>
  <c r="R34" i="13"/>
  <c r="G34" i="13"/>
  <c r="G48" i="13"/>
  <c r="R48" i="13"/>
  <c r="R41" i="13"/>
  <c r="G41" i="13"/>
  <c r="G39" i="13"/>
  <c r="R39" i="13"/>
  <c r="R55" i="13"/>
  <c r="G55" i="13"/>
  <c r="R42" i="13"/>
  <c r="G42" i="13"/>
  <c r="G52" i="13"/>
  <c r="R52" i="13"/>
  <c r="R62" i="13"/>
  <c r="G62" i="13"/>
  <c r="G36" i="13"/>
  <c r="R36" i="13"/>
  <c r="G44" i="13"/>
  <c r="R44" i="13"/>
  <c r="R33" i="13"/>
  <c r="G33" i="13"/>
  <c r="R37" i="13"/>
  <c r="G37" i="13"/>
  <c r="G56" i="13"/>
  <c r="R56" i="13"/>
  <c r="R45" i="13"/>
  <c r="G45" i="13"/>
  <c r="R53" i="13"/>
  <c r="G53" i="13"/>
  <c r="R49" i="13"/>
  <c r="G49" i="13"/>
  <c r="O43" i="13"/>
  <c r="C22" i="13" l="1"/>
  <c r="C23" i="13"/>
  <c r="O56" i="13"/>
  <c r="C29" i="13"/>
  <c r="P43" i="13"/>
  <c r="Q43" i="13"/>
  <c r="O49" i="13"/>
  <c r="P57" i="13"/>
  <c r="Q57" i="13"/>
  <c r="O60" i="13"/>
  <c r="O51" i="13"/>
  <c r="O38" i="13"/>
  <c r="O34" i="13"/>
  <c r="O39" i="13"/>
  <c r="O33" i="13"/>
  <c r="P33" i="13" s="1"/>
  <c r="O61" i="13"/>
  <c r="O36" i="13"/>
  <c r="P46" i="13"/>
  <c r="Q46" i="13"/>
  <c r="O53" i="13"/>
  <c r="O47" i="13"/>
  <c r="O42" i="13"/>
  <c r="O37" i="13"/>
  <c r="O44" i="13"/>
  <c r="O59" i="13"/>
  <c r="O54" i="13"/>
  <c r="O48" i="13"/>
  <c r="O62" i="13"/>
  <c r="O52" i="13"/>
  <c r="O58" i="13"/>
  <c r="O45" i="13"/>
  <c r="O55" i="13"/>
  <c r="O35" i="13"/>
  <c r="P54" i="13" l="1"/>
  <c r="Q54" i="13"/>
  <c r="P38" i="13"/>
  <c r="Q38" i="13"/>
  <c r="P55" i="13"/>
  <c r="Q55" i="13"/>
  <c r="P59" i="13"/>
  <c r="Q59" i="13"/>
  <c r="P44" i="13"/>
  <c r="Q44" i="13"/>
  <c r="P45" i="13"/>
  <c r="Q45" i="13"/>
  <c r="Q33" i="13"/>
  <c r="P37" i="13"/>
  <c r="Q37" i="13"/>
  <c r="P36" i="13"/>
  <c r="Q36" i="13"/>
  <c r="P51" i="13"/>
  <c r="Q51" i="13"/>
  <c r="P60" i="13"/>
  <c r="Q60" i="13"/>
  <c r="S57" i="13"/>
  <c r="P53" i="13"/>
  <c r="Q53" i="13"/>
  <c r="P39" i="13"/>
  <c r="Q39" i="13"/>
  <c r="P50" i="13"/>
  <c r="Q50" i="13"/>
  <c r="P47" i="13"/>
  <c r="Q47" i="13"/>
  <c r="S46" i="13"/>
  <c r="P35" i="13"/>
  <c r="Q35" i="13"/>
  <c r="P61" i="13"/>
  <c r="Q61" i="13"/>
  <c r="P58" i="13"/>
  <c r="Q58" i="13"/>
  <c r="P42" i="13"/>
  <c r="Q42" i="13"/>
  <c r="P52" i="13"/>
  <c r="Q52" i="13"/>
  <c r="P49" i="13"/>
  <c r="Q49" i="13"/>
  <c r="S43" i="13"/>
  <c r="P62" i="13"/>
  <c r="Q62" i="13"/>
  <c r="P48" i="13"/>
  <c r="Q48" i="13"/>
  <c r="P34" i="13"/>
  <c r="Q34" i="13"/>
  <c r="P56" i="13"/>
  <c r="Q56" i="13"/>
  <c r="C21" i="13" l="1"/>
  <c r="C28" i="13"/>
  <c r="C27" i="13"/>
  <c r="C26" i="13"/>
  <c r="C25" i="13"/>
  <c r="S47" i="13"/>
  <c r="S50" i="13"/>
  <c r="S52" i="13"/>
  <c r="S53" i="13"/>
  <c r="S58" i="13"/>
  <c r="S34" i="13"/>
  <c r="S61" i="13"/>
  <c r="S60" i="13"/>
  <c r="S55" i="13"/>
  <c r="S33" i="13"/>
  <c r="T35" i="13"/>
  <c r="S35" i="13"/>
  <c r="S37" i="13"/>
  <c r="S49" i="13"/>
  <c r="S45" i="13"/>
  <c r="S42" i="13"/>
  <c r="S36" i="13"/>
  <c r="S54" i="13"/>
  <c r="S39" i="13"/>
  <c r="S44" i="13"/>
  <c r="S56" i="13"/>
  <c r="S59" i="13"/>
  <c r="S48" i="13"/>
  <c r="S51" i="13"/>
  <c r="S38" i="13"/>
  <c r="S62" i="13"/>
  <c r="C24" i="13" l="1"/>
  <c r="C30" i="13" s="1"/>
  <c r="A31" i="1"/>
</calcChain>
</file>

<file path=xl/sharedStrings.xml><?xml version="1.0" encoding="utf-8"?>
<sst xmlns="http://schemas.openxmlformats.org/spreadsheetml/2006/main" count="1639" uniqueCount="886">
  <si>
    <t>Tata Power — Double Materiality Assessment</t>
  </si>
  <si>
    <t>Executive ESG Dashboard | Impact &amp; Financial Materiality | FY2025–26</t>
  </si>
  <si>
    <t>ESG TOPICS ASSESSED</t>
  </si>
  <si>
    <t>DOUBLE MATERIAL</t>
  </si>
  <si>
    <t>IMPACT MATERIAL</t>
  </si>
  <si>
    <t>FINANCIALLY MATERIAL</t>
  </si>
  <si>
    <t>BELOW THRESHOLD</t>
  </si>
  <si>
    <t>Materiality by ESG Category</t>
  </si>
  <si>
    <t>Environmental</t>
  </si>
  <si>
    <t>Social</t>
  </si>
  <si>
    <t>Governance</t>
  </si>
  <si>
    <t>Key Takeaways</t>
  </si>
  <si>
    <t>Key Strategic ESG Themes</t>
  </si>
  <si>
    <r>
      <rPr>
        <b/>
        <sz val="11"/>
        <color theme="1"/>
        <rFont val="Calibri"/>
        <family val="2"/>
        <scheme val="minor"/>
      </rPr>
      <t>01 | Climate &amp; Decarbonisation</t>
    </r>
    <r>
      <rPr>
        <sz val="11"/>
        <color theme="1"/>
        <rFont val="Calibri"/>
        <family val="2"/>
        <scheme val="minor"/>
      </rPr>
      <t xml:space="preserve"> -Climate Change • GHG Emissions • Energy Management • Clean Technology</t>
    </r>
  </si>
  <si>
    <r>
      <rPr>
        <b/>
        <sz val="11"/>
        <color theme="1"/>
        <rFont val="Calibri"/>
        <family val="2"/>
        <scheme val="minor"/>
      </rPr>
      <t>02 | Environmental &amp; Resource Stewardship</t>
    </r>
    <r>
      <rPr>
        <sz val="11"/>
        <color theme="1"/>
        <rFont val="Calibri"/>
        <family val="2"/>
        <scheme val="minor"/>
      </rPr>
      <t xml:space="preserve"> -Air Pollution • Water • Waste • Ash • Biodiversity • Resource Efficiency</t>
    </r>
  </si>
  <si>
    <r>
      <rPr>
        <b/>
        <sz val="11"/>
        <color theme="1"/>
        <rFont val="Calibri"/>
        <family val="2"/>
        <scheme val="minor"/>
      </rPr>
      <t>03 | Safe, Reliable &amp; Affordable Energy</t>
    </r>
    <r>
      <rPr>
        <sz val="11"/>
        <color theme="1"/>
        <rFont val="Calibri"/>
        <family val="2"/>
        <scheme val="minor"/>
      </rPr>
      <t>- OHS • Energy Reliability • Access &amp; Affordability • Customer Protection</t>
    </r>
  </si>
  <si>
    <r>
      <rPr>
        <b/>
        <sz val="11"/>
        <color theme="1"/>
        <rFont val="Calibri"/>
        <family val="2"/>
        <scheme val="minor"/>
      </rPr>
      <t>04 | People, Communities &amp; Responsible Value Chain</t>
    </r>
    <r>
      <rPr>
        <sz val="11"/>
        <color theme="1"/>
        <rFont val="Calibri"/>
        <family val="2"/>
        <scheme val="minor"/>
      </rPr>
      <t xml:space="preserve"> - Human Rights • Labour Practices • Community Impact • D&amp;I • Supply Chain</t>
    </r>
  </si>
  <si>
    <r>
      <rPr>
        <b/>
        <sz val="11"/>
        <color theme="1"/>
        <rFont val="Calibri"/>
        <family val="2"/>
        <scheme val="minor"/>
      </rPr>
      <t>05 | Governance, Digital &amp; ESG Risk Resilience</t>
    </r>
    <r>
      <rPr>
        <sz val="11"/>
        <color theme="1"/>
        <rFont val="Calibri"/>
        <family val="2"/>
        <scheme val="minor"/>
      </rPr>
      <t xml:space="preserve"> - Regulatory Compliance • ESG Governance • ESG Risk • Cybersecurity • Data Privacy</t>
    </r>
  </si>
  <si>
    <t>Assessment Scope</t>
  </si>
  <si>
    <t>Sr. No</t>
  </si>
  <si>
    <t>Parameter</t>
  </si>
  <si>
    <t>Details</t>
  </si>
  <si>
    <t>Company</t>
  </si>
  <si>
    <t>Tata Power Company Limited</t>
  </si>
  <si>
    <t>Assessment Period</t>
  </si>
  <si>
    <t>FY2025–26</t>
  </si>
  <si>
    <t>ESG Topics</t>
  </si>
  <si>
    <t>Assessment Dimensions</t>
  </si>
  <si>
    <t>Impact + Financial Materiality</t>
  </si>
  <si>
    <t>Evidence Base</t>
  </si>
  <si>
    <t>Publicly available information</t>
  </si>
  <si>
    <t>Assessment Type</t>
  </si>
  <si>
    <t>Independent analytical assessment</t>
  </si>
  <si>
    <t>Benchmark &amp; sync</t>
  </si>
  <si>
    <t>Disclaimer: This is an independent analytical assessment based on publicly available information and does not represent Tata Power's official DMA.</t>
  </si>
  <si>
    <t>Status</t>
  </si>
  <si>
    <t>ID</t>
  </si>
  <si>
    <t>Category</t>
  </si>
  <si>
    <t>Impact</t>
  </si>
  <si>
    <t>Financial</t>
  </si>
  <si>
    <t>Official band</t>
  </si>
  <si>
    <t>Tata Power — Integrated Energy Platform Navigating India's Energy Transition</t>
  </si>
  <si>
    <t>Business scale, clean-energy expansion and increasing ESG complexity shape the materiality landscape</t>
  </si>
  <si>
    <t>16,716 MW</t>
  </si>
  <si>
    <t>7,856 MW</t>
  </si>
  <si>
    <t>13.1+ Mn</t>
  </si>
  <si>
    <t>₹63,681 Cr</t>
  </si>
  <si>
    <t>₹16,090 Cr</t>
  </si>
  <si>
    <t>Generation Portfolio</t>
  </si>
  <si>
    <t>Clean &amp; Green Operational Capacity</t>
  </si>
  <si>
    <t>Distribution Customers</t>
  </si>
  <si>
    <t>Revenue</t>
  </si>
  <si>
    <t>EBITDA</t>
  </si>
  <si>
    <t>Clean &amp; green capacity represented ~47% of Tata Power’s operational portfolio in FY26.</t>
  </si>
  <si>
    <t>Why Materiality Matters for Tata Power</t>
  </si>
  <si>
    <t>Integrated Energy Value Chain</t>
  </si>
  <si>
    <t>GENERATION → TRANSMISSION → DISTRIBUTION → RENEWABLES → ENERGY SOLUTIONS</t>
  </si>
  <si>
    <t>01 | Energy Transition</t>
  </si>
  <si>
    <t>Decarbonisation • GHG emissions • Energy efficiency • Clean technology</t>
  </si>
  <si>
    <t>Generation</t>
  </si>
  <si>
    <t>Thermal • Hydro • Solar • Wind • Waste Heat Recovery</t>
  </si>
  <si>
    <t>02 | Environmental Footprint</t>
  </si>
  <si>
    <t>Transmission</t>
  </si>
  <si>
    <t>7,403 ckm transmission portfolio</t>
  </si>
  <si>
    <t>Water • Air pollution • Ash • Waste • Biodiversity • Land use</t>
  </si>
  <si>
    <t>Distribution</t>
  </si>
  <si>
    <t>13.1+ million customers across India</t>
  </si>
  <si>
    <t>03 | Stakeholder Dependence</t>
  </si>
  <si>
    <t>Renewables</t>
  </si>
  <si>
    <t>Solar • Wind • Hydro • Rooftop Solar • Storage</t>
  </si>
  <si>
    <t>Employees • Contractors • Customers • Communities • Suppliers</t>
  </si>
  <si>
    <t>Energy Solutions</t>
  </si>
  <si>
    <t>EV Charging • Rooftop Solar • Microgrids • Digital Energy Solutions</t>
  </si>
  <si>
    <t>04 | Infrastructure &amp; Digital Resilience</t>
  </si>
  <si>
    <t>Energy reliability • Cybersecurity • Data privacy • Supply-chain resilience</t>
  </si>
  <si>
    <t>Tata Power operates across the power value chain, combining conventional generation with expanding clean-energy and customer-facing businesses</t>
  </si>
  <si>
    <t>Strategic Context</t>
  </si>
  <si>
    <t>Tata Power’s integrated business model creates a dual ESG challenge: scaling clean, reliable and affordable energy while managing the environmental, social and governance impacts of a large infrastructure-intensive power business.</t>
  </si>
  <si>
    <t>DMA Implication:</t>
  </si>
  <si>
    <r>
      <t xml:space="preserve">The assessment therefore considers both </t>
    </r>
    <r>
      <rPr>
        <b/>
        <sz val="11"/>
        <color theme="1"/>
        <rFont val="Calibri"/>
        <family val="2"/>
        <scheme val="minor"/>
      </rPr>
      <t>Tata Power’s impacts on people and the environment</t>
    </r>
    <r>
      <rPr>
        <sz val="11"/>
        <color theme="1"/>
        <rFont val="Calibri"/>
        <family val="2"/>
        <scheme val="minor"/>
      </rPr>
      <t xml:space="preserve"> and the </t>
    </r>
    <r>
      <rPr>
        <b/>
        <sz val="11"/>
        <color theme="1"/>
        <rFont val="Calibri"/>
        <family val="2"/>
        <scheme val="minor"/>
      </rPr>
      <t>financial implications of ESG-related risks and opportunities</t>
    </r>
    <r>
      <rPr>
        <sz val="11"/>
        <color theme="1"/>
        <rFont val="Calibri"/>
        <family val="2"/>
        <scheme val="minor"/>
      </rPr>
      <t>.</t>
    </r>
  </si>
  <si>
    <r>
      <t>Source:</t>
    </r>
    <r>
      <rPr>
        <sz val="11"/>
        <color theme="1"/>
        <rFont val="Calibri"/>
        <family val="2"/>
        <scheme val="minor"/>
      </rPr>
      <t xml:space="preserve"> Tata Power Integrated Annual Report FY2025–26 and corporate disclosures. FY2025–26 figures unless otherwise stated</t>
    </r>
  </si>
  <si>
    <t>Independent analytical assessment based on publicly available information; not Tata Power’s official DMA.</t>
  </si>
  <si>
    <t>Tata Power - ESG Issue Universe</t>
  </si>
  <si>
    <t>Issue Id</t>
  </si>
  <si>
    <t>ESG Category</t>
  </si>
  <si>
    <t>ESG Topic</t>
  </si>
  <si>
    <t>Sub Topic</t>
  </si>
  <si>
    <t>Why Relevant to Tata Power</t>
  </si>
  <si>
    <t>Value Chain Stage</t>
  </si>
  <si>
    <t>E01</t>
  </si>
  <si>
    <t>Climate Change</t>
  </si>
  <si>
    <t>Climate transition</t>
  </si>
  <si>
    <t>Tata Power is transitioning its portfolio toward clean energy while managing the long-term transition of conventional generation.</t>
  </si>
  <si>
    <t>Generation | Renewables | Transmission &amp; Distribution</t>
  </si>
  <si>
    <t>E02</t>
  </si>
  <si>
    <t>GHG Emissions</t>
  </si>
  <si>
    <t>Scope 1, 2 &amp; 3</t>
  </si>
  <si>
    <t>Power generation is emissions-intensive; Tata Power therefore needs to reduce operational emissions and manage value-chain emissions.</t>
  </si>
  <si>
    <t>Generation | Supply Chain | T&amp;D</t>
  </si>
  <si>
    <t>E03</t>
  </si>
  <si>
    <t>Energy Management</t>
  </si>
  <si>
    <t>Energy efficiency</t>
  </si>
  <si>
    <t>Energy efficiency across generation, transmission and distribution can reduce resource consumption, losses and operating costs.</t>
  </si>
  <si>
    <t>Generation | T&amp;D | Energy Solutions</t>
  </si>
  <si>
    <t>E04</t>
  </si>
  <si>
    <t>Air Pollution</t>
  </si>
  <si>
    <t>SOx, NOx, PM</t>
  </si>
  <si>
    <t>Thermal generation can create air-emission impacts, making emission-control systems and regulatory compliance important.</t>
  </si>
  <si>
    <t>Thermal Generation | Supply Chain</t>
  </si>
  <si>
    <t>E05</t>
  </si>
  <si>
    <t>Water</t>
  </si>
  <si>
    <t>Water withdrawal &amp; consumption</t>
  </si>
  <si>
    <t>Power generation requires significant water resources, making water efficiency and conservation important for operational resilience.</t>
  </si>
  <si>
    <t>Thermal &amp; Hydro Generation | Communities</t>
  </si>
  <si>
    <t>E06</t>
  </si>
  <si>
    <t>Biodiversity</t>
  </si>
  <si>
    <t>Ecosystem impact</t>
  </si>
  <si>
    <t>Large-scale generation, transmission and renewable projects can interact with ecosystems and biodiversity-sensitive areas.</t>
  </si>
  <si>
    <t>Generation | Transmission | Renewables</t>
  </si>
  <si>
    <t>E07</t>
  </si>
  <si>
    <t>Waste Management</t>
  </si>
  <si>
    <t>Waste &amp; recycling</t>
  </si>
  <si>
    <t>Diverse operations generate hazardous, non-hazardous and industrial waste requiring responsible treatment and disposal.</t>
  </si>
  <si>
    <t>Generation | Manufacturing | Projects</t>
  </si>
  <si>
    <t>E08</t>
  </si>
  <si>
    <t>Ash Management</t>
  </si>
  <si>
    <t>Fly ash / bottom ash</t>
  </si>
  <si>
    <t>Thermal operations generate substantial ash, requiring utilisation, safe handling, storage and regulatory compliance.</t>
  </si>
  <si>
    <t>E09</t>
  </si>
  <si>
    <t>Land Use</t>
  </si>
  <si>
    <t>Land footprint</t>
  </si>
  <si>
    <t>Utility-scale generation, transmission and renewable projects require significant land and can affect local ecosystems and communities.</t>
  </si>
  <si>
    <t>E10</t>
  </si>
  <si>
    <t>Resource Use &amp; Circular Economy</t>
  </si>
  <si>
    <t>Materials &amp; circularity</t>
  </si>
  <si>
    <t>Large infrastructure projects require metals, equipment and other resources, creating opportunities for resource efficiency and circularity.</t>
  </si>
  <si>
    <t>Projects | Manufacturing | Generation</t>
  </si>
  <si>
    <t>S01</t>
  </si>
  <si>
    <t>Occupational Health &amp; Safety</t>
  </si>
  <si>
    <t>Workplace safety</t>
  </si>
  <si>
    <t>Power generation, construction, transmission and distribution involve high-risk activities requiring strong safety management.</t>
  </si>
  <si>
    <t>Generation | Transmission | Distribution | Projects</t>
  </si>
  <si>
    <t>S02</t>
  </si>
  <si>
    <t>Employee Wellbeing</t>
  </si>
  <si>
    <t>Health &amp; wellbeing</t>
  </si>
  <si>
    <t>A large and geographically distributed workforce requires effective health, wellbeing, engagement and support systems.</t>
  </si>
  <si>
    <t>All Operations</t>
  </si>
  <si>
    <t>S03</t>
  </si>
  <si>
    <t>Diversity &amp; Inclusion</t>
  </si>
  <si>
    <t>Workforce diversity</t>
  </si>
  <si>
    <t>A future-ready workforce requires inclusive practices and improved representation across gender and other dimensions of diversity.</t>
  </si>
  <si>
    <t>S04</t>
  </si>
  <si>
    <t>Talent Development</t>
  </si>
  <si>
    <t>Training &amp; skills</t>
  </si>
  <si>
    <t>Rapid growth in renewables, digitalisation, storage and new energy solutions requires future-ready technical and managerial capabilities.</t>
  </si>
  <si>
    <t>All Operations | Energy Solutions</t>
  </si>
  <si>
    <t>S05</t>
  </si>
  <si>
    <t>Labour Practices</t>
  </si>
  <si>
    <t>Employee relations</t>
  </si>
  <si>
    <t>Large-scale and geographically dispersed operations require responsible employment practices and constructive labour relations.</t>
  </si>
  <si>
    <t>S06</t>
  </si>
  <si>
    <t>Human Rights</t>
  </si>
  <si>
    <t>Human rights</t>
  </si>
  <si>
    <t>Operations and supply chains can affect workers, communities and other stakeholders, requiring responsible human-rights practices.</t>
  </si>
  <si>
    <t>Operations | Supply Chain | Projects</t>
  </si>
  <si>
    <t>S07</t>
  </si>
  <si>
    <t>Community Impact</t>
  </si>
  <si>
    <t>Local communities</t>
  </si>
  <si>
    <t>Large infrastructure projects and energy operations affect surrounding communities, creating responsibilities around livelihoods, development and social inclusion.</t>
  </si>
  <si>
    <t>Projects | Generation | T&amp;D</t>
  </si>
  <si>
    <t>S08</t>
  </si>
  <si>
    <t>Access &amp; Affordability</t>
  </si>
  <si>
    <t>Electricity access</t>
  </si>
  <si>
    <t>As a major distribution and energy-solutions player, Tata Power has a role in improving access to reliable and affordable electricity.</t>
  </si>
  <si>
    <t>Distribution | Renewables | Energy Solutions</t>
  </si>
  <si>
    <t>S09</t>
  </si>
  <si>
    <t>Customer Welfare</t>
  </si>
  <si>
    <t>Customer satisfaction</t>
  </si>
  <si>
    <t>A 13.1+ million distribution customer base makes service quality, consumer protection and customer experience strategically important.</t>
  </si>
  <si>
    <t>Distribution | Energy Solutions</t>
  </si>
  <si>
    <t>S10</t>
  </si>
  <si>
    <t>Energy Reliability</t>
  </si>
  <si>
    <t>Service continuity</t>
  </si>
  <si>
    <t>Transmission and distribution reliability directly affects customers, businesses and communities, making grid resilience critical.</t>
  </si>
  <si>
    <t>Transmission | Distribution</t>
  </si>
  <si>
    <t>G01</t>
  </si>
  <si>
    <t>Business Ethics</t>
  </si>
  <si>
    <t>Anti-corruption</t>
  </si>
  <si>
    <t>Large infrastructure projects, procurement and multiple stakeholder relationships increase the importance of ethical conduct and anti-corruption controls.</t>
  </si>
  <si>
    <t>All Operations | Procurement</t>
  </si>
  <si>
    <t>G02</t>
  </si>
  <si>
    <t>Regulatory Compliance</t>
  </si>
  <si>
    <t>Legal/regulatory</t>
  </si>
  <si>
    <t>Power generation, transmission, distribution and environmental operations are highly regulated, making compliance critical to business continuity.</t>
  </si>
  <si>
    <t>G03</t>
  </si>
  <si>
    <t>ESG Governance</t>
  </si>
  <si>
    <t>Board oversight</t>
  </si>
  <si>
    <t>Tata Power integrates ESG priorities into governance and strategic decision-making, requiring effective leadership oversight and accountability.</t>
  </si>
  <si>
    <t>Corporate | All Operations</t>
  </si>
  <si>
    <t>G04</t>
  </si>
  <si>
    <t>Risk Management</t>
  </si>
  <si>
    <t>ESG Risk</t>
  </si>
  <si>
    <t>The scale and complexity of Tata Power's portfolio create exposure to climate, regulatory, operational, financial and transition risks.</t>
  </si>
  <si>
    <t>G05</t>
  </si>
  <si>
    <t>Cybersecurity</t>
  </si>
  <si>
    <t>Cyber risk</t>
  </si>
  <si>
    <t>Digital grids, smart meters, customer platforms and connected infrastructure increase exposure to cyber threats and operational disruption.</t>
  </si>
  <si>
    <t>T&amp;D | Distribution | Digital Energy Solutions</t>
  </si>
  <si>
    <t>G06</t>
  </si>
  <si>
    <t>Data Privacy</t>
  </si>
  <si>
    <t>Customer data</t>
  </si>
  <si>
    <t>Large-scale customer operations and digital platforms require responsible collection, protection and use of personal and operational data.</t>
  </si>
  <si>
    <t>G07</t>
  </si>
  <si>
    <t>Responsible Supply Chain</t>
  </si>
  <si>
    <t>Supplier ESG</t>
  </si>
  <si>
    <t>Large infrastructure and renewable projects depend on extensive suppliers and contractors, increasing the importance of ESG standards across the value chain.</t>
  </si>
  <si>
    <t>Procurement | Projects | Manufacturing</t>
  </si>
  <si>
    <t>G08</t>
  </si>
  <si>
    <t>Transparency</t>
  </si>
  <si>
    <t>ESG disclosure</t>
  </si>
  <si>
    <t>Investors, regulators and other stakeholders increasingly expect transparent, credible and accountable ESG reporting.</t>
  </si>
  <si>
    <t>G09</t>
  </si>
  <si>
    <t>Innovation</t>
  </si>
  <si>
    <t>Clean technology</t>
  </si>
  <si>
    <t>Tata Power is expanding renewable energy, storage, EV charging, smart grids and other new-age energy solutions to support the energy transition.</t>
  </si>
  <si>
    <t>Renewables | Energy Solutions | T&amp;D</t>
  </si>
  <si>
    <t>G10</t>
  </si>
  <si>
    <t>Creating Economic Value</t>
  </si>
  <si>
    <t>Sustainable growth</t>
  </si>
  <si>
    <t>Tata Power must balance investment in energy transition and infrastructure with profitability, financial resilience and long-term value creation.</t>
  </si>
  <si>
    <t>All Operations | Corporate</t>
  </si>
  <si>
    <t>Tata Power — ESG Evidence Database</t>
  </si>
  <si>
    <t>Publicly Disclosed Evidence Supporting Materiality Assessment | FY2025–26</t>
  </si>
  <si>
    <t>Evidence /Observation</t>
  </si>
  <si>
    <t>Impact Relevance</t>
  </si>
  <si>
    <t>Financial Relevance</t>
  </si>
  <si>
    <t>Risk/ Opportunity</t>
  </si>
  <si>
    <t>Tata Power Response</t>
  </si>
  <si>
    <t xml:space="preserve">Source Document </t>
  </si>
  <si>
    <t xml:space="preserve">Page </t>
  </si>
  <si>
    <t>Source Type</t>
  </si>
  <si>
    <t>Evidence Strength</t>
  </si>
  <si>
    <t xml:space="preserve">Climate Change </t>
  </si>
  <si>
    <t>Tata Power identifies continued exposure to thermal assets as a source of carbon-pricing and stranded-asset risk. The company also identifies renewable-energy expansion as an opportunity and targets Net Zero emissions by 2045.</t>
  </si>
  <si>
    <t>Thermal generation contributes to GHG emissions and climate impacts; transition toward renewable energy can reduce lifecycle emissions.</t>
  </si>
  <si>
    <t>Carbon pricing, transition costs, stranded assets and changing energy-market expectations can affect long-term competitiveness and capital allocation.</t>
  </si>
  <si>
    <t>Risk + Opportunity</t>
  </si>
  <si>
    <t>Project Aalingana, SBTi-aligned targets, renewable expansion and transition toward cleaner energy; Net Zero target before 2045.</t>
  </si>
  <si>
    <t>TATA POWER FY 2025-26 BRSR</t>
  </si>
  <si>
    <t>Company Disclosure</t>
  </si>
  <si>
    <t>High</t>
  </si>
  <si>
    <t>Tata Power reports Scope 1 and Scope 2 emissions and identifies high Scope 1 emissions from coal-based generation as a key risk.</t>
  </si>
  <si>
    <t>GHG emissions contribute to climate change and represent an environmental impact of thermal generation.</t>
  </si>
  <si>
    <t>Higher emissions can increase compliance, monitoring, retrofit and potential carbon-related costs.</t>
  </si>
  <si>
    <t>Transition to lower-emission generation, renewable expansion, emissions reduction targets and pollution-control technologies.</t>
  </si>
  <si>
    <t>Tata Power identifies high auxiliary power consumption and distribution losses as operational efficiency issues and identifies smart-grid technologies and energy-efficiency measures as opportunities.</t>
  </si>
  <si>
    <t>Inefficient energy use increases resource consumption and reduces energy efficiency.</t>
  </si>
  <si>
    <t>Higher energy losses and auxiliary consumption can increase operating costs and reduce efficiency.</t>
  </si>
  <si>
    <t>Energy-efficiency measures, operational benchmarking, smart meters, grid digitalization and ISO 50001.</t>
  </si>
  <si>
    <t>Tata Power identifies SOx, NOx and particulate/fugitive emissions from coal-based operations as environmental and health concerns.</t>
  </si>
  <si>
    <t>Air pollutants can affect local air quality, ecosystems and community health.</t>
  </si>
  <si>
    <t>Tightening emission standards can increase compliance, monitoring and retrofit costs.</t>
  </si>
  <si>
    <t>Air Pollution Control Devices, fugitive-emission management, continuous monitoring and FGD/emission-control technologies.</t>
  </si>
  <si>
    <t>Water &amp; Effluent</t>
  </si>
  <si>
    <t>Tata Power's operations depend on water, particularly thermal generation. FY26 water consumption was approximately 266.3 million KL, and the company identifies water stress and discharge requirements as operational and regulatory risks.</t>
  </si>
  <si>
    <t>Water withdrawal and heated effluent discharge can affect aquatic ecosystems, water quality and availability for surrounding communities.</t>
  </si>
  <si>
    <t>Water scarcity and tighter discharge regulations can create operational constraints, compliance costs and business interruption risk.</t>
  </si>
  <si>
    <t>Water-efficiency measures, wastewater recycling, Zero Liquid Discharge, desalination, rainwater harvesting and 2030 water-neutrality goal.</t>
  </si>
  <si>
    <t>Tata Power's generation and infrastructure projects can interact with ecosystems and biodiversity. The company incorporates biodiversity conservation, afforestation, catchment treatment and environmental monitoring into relevant projects.</t>
  </si>
  <si>
    <t>Power infrastructure can affect habitats, ecosystems and biodiversity.</t>
  </si>
  <si>
    <t>Biodiversity impacts can create regulatory, approval, project-delay and stakeholder risks.</t>
  </si>
  <si>
    <t>Biodiversity conservation, environmental assessments, afforestation, catchment treatment and monitoring.</t>
  </si>
  <si>
    <t>324- 325</t>
  </si>
  <si>
    <t xml:space="preserve">Waste Management </t>
  </si>
  <si>
    <t>Tata Power identifies major waste streams including fly ash from thermal power plants and chemical sludge from solar PV manufacturing. It also discusses recycling pathways for end-of-life solar panels</t>
  </si>
  <si>
    <t>Improper waste management can cause pollution and environmental impacts.</t>
  </si>
  <si>
    <t>Waste-treatment, disposal and compliance requirements create operating costs; circularity can create resource-efficiency opportunities</t>
  </si>
  <si>
    <t>Fly-ash utilization, bottom-ash utilization and development of recycling pathways for end-of-life PV panels.</t>
  </si>
  <si>
    <t xml:space="preserve">Ash Management </t>
  </si>
  <si>
    <t>Tata Power identifies fly ash as a major waste stream from thermal power plants and reports its utilization in construction, ready-mix concrete, cement and quarry filling.</t>
  </si>
  <si>
    <t>Poor ash management can create risks of land, air and water contamination.</t>
  </si>
  <si>
    <t>Ash handling, disposal and compliance require expenditure, while utilization creates potential cost/resource-efficiency benefits.</t>
  </si>
  <si>
    <t>Fly-ash utilization through authorized vendors and increased bottom-ash utilization.</t>
  </si>
  <si>
    <t>Tata Power identifies the large land footprint associated with solar/wind farms as potentially affecting land use and local ecosystems.</t>
  </si>
  <si>
    <t>Large energy infrastructure projects can alter land use and affect local ecosystems and communities.</t>
  </si>
  <si>
    <t>Land availability, approvals, project development and stakeholder issues can affect project timelines and costs.</t>
  </si>
  <si>
    <t>Environmental approvals, biodiversity conservation, catchment protection and environmental management measures.</t>
  </si>
  <si>
    <t>Medium - High</t>
  </si>
  <si>
    <t>Resource Use &amp; Circular Economy.</t>
  </si>
  <si>
    <t>Tata Power describes resource-efficiency measures and circularity initiatives, including PV-panel end-of-life management, recycling pathways and waste utilization</t>
  </si>
  <si>
    <t>Efficient resource use reduces waste and pressure on natural resources.</t>
  </si>
  <si>
    <t>Better resource efficiency can reduce material/waste costs and create opportunities for recovery and recycling.</t>
  </si>
  <si>
    <t>Waste utilization, PV recycling pathways and circular-economy initiatives.</t>
  </si>
  <si>
    <t>Tata Power identifies occupational health and safety as a material issue. In FY26, it maintained an Occupational Health &amp; Safety Management System aligned with Tata Group standards and ISO 45001:2018, trained 100% of employees and business-associate workforce on OH&amp;S systems, and conducted 757 safety capability workshops involving 18,920 personnel.</t>
  </si>
  <si>
    <t>Power generation, transmission and distribution involve significant physical and operational hazards. Workplace incidents can cause injury, health impacts and potentially fatalities.</t>
  </si>
  <si>
    <t>Safety incidents can lead to medical and compensation costs, litigation, operational disruption, workforce availability issues and reputational damage.</t>
  </si>
  <si>
    <t>ISO 45001-aligned OH&amp;S management system, HIRA/JSA, safety training, PPE, audits, automation/mechanisation and business-associate safety programmes.</t>
  </si>
  <si>
    <t>Tata Power FY2025–26 Integrated Annual Report</t>
  </si>
  <si>
    <t>294 -95</t>
  </si>
  <si>
    <t>Tata Power describes employee wellbeing, engagement and a safe, inclusive workplace as priorities. FY26 initiatives included mental wellbeing, stress management, financial health, nutrition, preventive healthcare, employee surveys and leadership interactions.</t>
  </si>
  <si>
    <t>Employee wellbeing affects physical, mental and social health and the quality of the working environment.</t>
  </si>
  <si>
    <t>Poor employee wellbeing can contribute to absenteeism, lower productivity, turnover and higher workforce costs.</t>
  </si>
  <si>
    <t>"A Fuller Life" framework, employee assistance programmes, health screening, counselling, wellbeing initiatives and engagement programmes.</t>
  </si>
  <si>
    <t>125 - 135</t>
  </si>
  <si>
    <t>Tata Power identifies diversity and inclusion as a material social topic and states that it aims to create an inclusive workplace across levels. FY26 initiatives included women leadership development and targeted inclusion programmes.</t>
  </si>
  <si>
    <t>Workplace diversity and inclusion affect equality of opportunity, employee experience and representation.</t>
  </si>
  <si>
    <t>Effective diversity and inclusion can influence talent attraction, retention, engagement and leadership pipeline development.</t>
  </si>
  <si>
    <t>Diversity and inclusion programmes, women leadership development, targeted workforce initiatives and inclusive workplace policies.</t>
  </si>
  <si>
    <t>Tata Power identifies employee retention, engagement and talent development as material and reports structured learning, leadership development, technical training and internal mobility programmes.</t>
  </si>
  <si>
    <t>Training and development improve employee capability, employability and career progression.</t>
  </si>
  <si>
    <t>Skill development supports productivity, operational capability, retention and the ability to execute the energy transition.</t>
  </si>
  <si>
    <t>Structured learning, leadership programmes, technical training, WILP and internal mobility.</t>
  </si>
  <si>
    <t>Tata Power identifies labour management as a material topic and recognizes potential operational disruption from labour issues. It states that labour compliance is maintained according to regulatory requirements and global standards such as ILO principles.</t>
  </si>
  <si>
    <t>Poor labour practices can affect employee rights, working conditions and industrial relations.</t>
  </si>
  <si>
    <t>Labour disputes or workforce disruption can cause downtime, productivity losses and additional operating costs.</t>
  </si>
  <si>
    <t>Risk</t>
  </si>
  <si>
    <t>Labour compliance, alignment with regulatory requirements and international labour standards.</t>
  </si>
  <si>
    <t>Tata Power FY2025–26 BRSR</t>
  </si>
  <si>
    <t>294 - 295</t>
  </si>
  <si>
    <t xml:space="preserve">
Human Rights</t>
  </si>
  <si>
    <t>Tata Power's Human Rights Commitment Framework covers dignity, freedom of association, collective bargaining, non-discrimination, prohibition of child and forced labour, and alignment with ILO and UN Global Compact principles.</t>
  </si>
  <si>
    <t>Power-sector operations and supply chains can affect workers, communities and other stakeholders, making human-rights protection important.</t>
  </si>
  <si>
    <t>Human-rights violations can create legal, operational, reputational and stakeholder risks.</t>
  </si>
  <si>
    <t>Human Rights Commitment Framework, human-rights assessments, training and alignment with international labour standards.</t>
  </si>
  <si>
    <t>~125–135 / 298–299</t>
  </si>
  <si>
    <r>
      <t xml:space="preserve">Tata Power states that its community initiatives focus on inclusive growth and resilience, particularly in underserved communities. Its CSR approach covers areas including education, employability, entrepreneurship and essential enablers.
(FY26 CSR expenditure was reported at approximately </t>
    </r>
    <r>
      <rPr>
        <sz val="11"/>
        <color theme="9"/>
        <rFont val="Calibri"/>
        <family val="2"/>
        <scheme val="minor"/>
      </rPr>
      <t>₹100.54 crore</t>
    </r>
    <r>
      <rPr>
        <sz val="11"/>
        <color theme="1"/>
        <rFont val="Calibri"/>
        <family val="2"/>
        <scheme val="minor"/>
      </rPr>
      <t>)</t>
    </r>
  </si>
  <si>
    <t>Large energy projects can affect communities through employment, infrastructure, land use, environmental impacts and access to energy.</t>
  </si>
  <si>
    <t>Weak community relationships can create stakeholder opposition, delays, reputational issues and project-development risks.</t>
  </si>
  <si>
    <t>CSR programmes, community engagement and initiatives focused on education, employment, entrepreneurship and essential enablers.</t>
  </si>
  <si>
    <t>292 / 146–167</t>
  </si>
  <si>
    <t>Company disclosure</t>
  </si>
  <si>
    <r>
      <t xml:space="preserve">Tata Power identifies access and affordability as a newly added material topic, reflecting the importance of inclusive access to reliable and affordable electricity.
(The company reports a distribution customer base of </t>
    </r>
    <r>
      <rPr>
        <sz val="11"/>
        <color theme="9"/>
        <rFont val="Calibri"/>
        <family val="2"/>
        <scheme val="minor"/>
      </rPr>
      <t>13.1+ million</t>
    </r>
    <r>
      <rPr>
        <sz val="11"/>
        <color theme="1"/>
        <rFont val="Calibri"/>
        <family val="2"/>
        <scheme val="minor"/>
      </rPr>
      <t xml:space="preserve"> and emphasizes reliable and affordable energy access)</t>
    </r>
  </si>
  <si>
    <t>Electricity access and affordability directly affect household welfare, economic opportunity and quality of life.</t>
  </si>
  <si>
    <t>Affordability and access influence demand, customer retention, collections and the long-term sustainability of distribution businesses.</t>
  </si>
  <si>
    <t>Distribution network expansion, digitalisation, smart metering, customer-centric services, rooftop solar and clean-energy solutions.</t>
  </si>
  <si>
    <t>Tata Power FY2025–26 Integrated Annual Report / Materiality Assessment</t>
  </si>
  <si>
    <t>80 - 90</t>
  </si>
  <si>
    <t>Tata Power identifies customer relationship management as a material topic. The company states that poor service quality could lead to customer loss and uses multiple customer-feedback channels. Its FY26 C.A.R.E. initiative covered 10,343 employees across 22 locations in the Odisha DISCOMs to strengthen customer-centric service delivery.</t>
  </si>
  <si>
    <t>Electricity customers depend on reliable, responsive and fair service.</t>
  </si>
  <si>
    <t>Poor customer experience can result in customer dissatisfaction, complaints, collection issues, reputational damage and revenue impacts.</t>
  </si>
  <si>
    <t>Customer-feedback mechanisms, C.A.R.E. initiative, digital platforms and customer-centric service programmes.</t>
  </si>
  <si>
    <t>110 - 119</t>
  </si>
  <si>
    <t>Tata Power operates generation, transmission and distribution businesses and emphasizes reliable energy supply, resilient distribution networks and grid infrastructure. Its FY26 strategy includes strengthening distribution businesses and developing resilient energy infrastructure.</t>
  </si>
  <si>
    <t>Electricity reliability affects households, businesses, public services and economic activity.</t>
  </si>
  <si>
    <t>Power interruptions can cause service penalties, customer dissatisfaction, operational losses and reputational damage.</t>
  </si>
  <si>
    <t>Grid modernization, smart meters, digitalisation, transmission expansion and distribution network improvements.</t>
  </si>
  <si>
    <t>Business Ethics — Anti-corruption</t>
  </si>
  <si>
    <r>
      <t xml:space="preserve">Tata Power identifies </t>
    </r>
    <r>
      <rPr>
        <b/>
        <sz val="11"/>
        <color theme="1"/>
        <rFont val="Calibri"/>
        <family val="2"/>
        <scheme val="minor"/>
      </rPr>
      <t>Ethical Business Conduct</t>
    </r>
    <r>
      <rPr>
        <sz val="11"/>
        <color theme="1"/>
        <rFont val="Calibri"/>
        <family val="2"/>
        <scheme val="minor"/>
      </rPr>
      <t xml:space="preserve"> as a material governance topic. The Tata Code of Conduct (TCoC) provides the framework for ethical behaviour, while employees, customers and suppliers are expected to adhere to relevant principles.</t>
    </r>
  </si>
  <si>
    <t>Ethical misconduct, bribery or corruption can negatively affect employees, business partners, customers and institutional trust.</t>
  </si>
  <si>
    <t>Ethical violations can result in penalties, litigation, loss of business relationships and reputational damage.</t>
  </si>
  <si>
    <t>TCoC, anti-bribery and anti-corruption training, whistleblower mechanism, ethics investigations and annual compliance processes.</t>
  </si>
  <si>
    <t>FY26 Integrated Annual Report / Tata Power Ethics</t>
  </si>
  <si>
    <t>82; Ethics section</t>
  </si>
  <si>
    <t>Tata Power Annual Report / Corporate website</t>
  </si>
  <si>
    <t>Regulatory Compliance — Legal &amp; Regulatory</t>
  </si>
  <si>
    <r>
      <t xml:space="preserve">Tata Power identifies </t>
    </r>
    <r>
      <rPr>
        <b/>
        <sz val="11"/>
        <color theme="1"/>
        <rFont val="Calibri"/>
        <family val="2"/>
        <scheme val="minor"/>
      </rPr>
      <t>Regulatory Compliance and Landscape</t>
    </r>
    <r>
      <rPr>
        <sz val="11"/>
        <color theme="1"/>
        <rFont val="Calibri"/>
        <family val="2"/>
        <scheme val="minor"/>
      </rPr>
      <t xml:space="preserve"> as a material topic. The power sector is highly regulated across generation, transmission, distribution, environment, safety and consumer matters.</t>
    </r>
  </si>
  <si>
    <t>Non-compliance can affect customers, employees, communities and the environment.</t>
  </si>
  <si>
    <t>Regulatory changes or non-compliance can lead to penalties, operational disruption, additional compliance costs and project delays.</t>
  </si>
  <si>
    <t>Regulatory monitoring, policy advocacy, compliance mechanisms and engagement with regulators and policymakers.</t>
  </si>
  <si>
    <t>FY26 Integrated Annual Report</t>
  </si>
  <si>
    <t>82–83</t>
  </si>
  <si>
    <t>Tata Power Annual Report</t>
  </si>
  <si>
    <t>ESG Governance — Board Oversight</t>
  </si>
  <si>
    <r>
      <t xml:space="preserve">Tata Power identifies </t>
    </r>
    <r>
      <rPr>
        <b/>
        <sz val="11"/>
        <color theme="1"/>
        <rFont val="Calibri"/>
        <family val="2"/>
        <scheme val="minor"/>
      </rPr>
      <t>ESG Governance</t>
    </r>
    <r>
      <rPr>
        <sz val="11"/>
        <color theme="1"/>
        <rFont val="Calibri"/>
        <family val="2"/>
        <scheme val="minor"/>
      </rPr>
      <t xml:space="preserve"> as a very high-priority material issue. Its governance structure integrates sustainability considerations into strategic decision-making and oversight.</t>
    </r>
  </si>
  <si>
    <t>Strong ESG governance influences how environmental and social impacts are identified, managed and monitored.</t>
  </si>
  <si>
    <t>Weak ESG integration can affect investor confidence, access to capital, compliance and strategic decision-making.</t>
  </si>
  <si>
    <t>CSR &amp; Sustainability Board Committee, ESG governance structure, leadership review and integration of ESG into business strategy.</t>
  </si>
  <si>
    <t>FY26 BRSR / Integrated Annual Report</t>
  </si>
  <si>
    <t>295; 82</t>
  </si>
  <si>
    <t>Tata Power BRSR / Annual Report</t>
  </si>
  <si>
    <t>Risk Management — ESG Risk</t>
  </si>
  <si>
    <r>
      <t xml:space="preserve">Tata Power identifies </t>
    </r>
    <r>
      <rPr>
        <b/>
        <sz val="11"/>
        <color theme="1"/>
        <rFont val="Calibri"/>
        <family val="2"/>
        <scheme val="minor"/>
      </rPr>
      <t>Risk Management and BCDMP (Business Continuity &amp; Disaster Management Plan)</t>
    </r>
    <r>
      <rPr>
        <sz val="11"/>
        <color theme="1"/>
        <rFont val="Calibri"/>
        <family val="2"/>
        <scheme val="minor"/>
      </rPr>
      <t xml:space="preserve"> as a material topic. Its operations face physical, operational, climate, cyber, regulatory and business-continuity risks.</t>
    </r>
  </si>
  <si>
    <t>Effective risk management reduces potential impacts on employees, communities, customers and infrastructure.</t>
  </si>
  <si>
    <t>Failure to manage material risks can result in business interruption, revenue loss, asset damage and higher risk costs.</t>
  </si>
  <si>
    <t>Enterprise risk management, BCDMP, periodic mock exercises and integration of emerging risks into business planning.</t>
  </si>
  <si>
    <t>Cybersecurity — Cyber Risk</t>
  </si>
  <si>
    <r>
      <t xml:space="preserve">Tata Power identifies </t>
    </r>
    <r>
      <rPr>
        <b/>
        <sz val="11"/>
        <color theme="1"/>
        <rFont val="Calibri"/>
        <family val="2"/>
        <scheme val="minor"/>
      </rPr>
      <t>Digitalisation, Data Privacy and Cyber Security</t>
    </r>
    <r>
      <rPr>
        <sz val="11"/>
        <color theme="1"/>
        <rFont val="Calibri"/>
        <family val="2"/>
        <scheme val="minor"/>
      </rPr>
      <t xml:space="preserve"> as a material topic. Increasing digitalisation of power generation, grids, smart meters and customer platforms increases cyber exposure.</t>
    </r>
  </si>
  <si>
    <t>Cyber incidents can affect customers, employees, critical infrastructure and continuity of electricity services.</t>
  </si>
  <si>
    <t>Cyberattacks can result in operational disruption, financial losses, regulatory consequences, data breaches and reputational damage.</t>
  </si>
  <si>
    <t>Information-security architecture, access controls, cybersecurity measures, awareness and protection of customer/operational data.</t>
  </si>
  <si>
    <t>Data Privacy — Customer Data</t>
  </si>
  <si>
    <r>
      <t xml:space="preserve">Tata Power expanded its earlier digitalisation/cybersecurity topic to explicitly include </t>
    </r>
    <r>
      <rPr>
        <b/>
        <sz val="11"/>
        <color theme="1"/>
        <rFont val="Calibri"/>
        <family val="2"/>
        <scheme val="minor"/>
      </rPr>
      <t>Data Privacy</t>
    </r>
    <r>
      <rPr>
        <sz val="11"/>
        <color theme="1"/>
        <rFont val="Calibri"/>
        <family val="2"/>
        <scheme val="minor"/>
      </rPr>
      <t xml:space="preserve"> in FY26, recognising the importance of protecting personal and operational data.</t>
    </r>
  </si>
  <si>
    <t>Improper use or disclosure of personal data can directly affect customers, employees and other stakeholders.</t>
  </si>
  <si>
    <t>Data breaches can create regulatory penalties, remediation costs, customer loss and reputational damage.</t>
  </si>
  <si>
    <r>
      <t xml:space="preserve">Customer privacy controls, information-security framework and compliance with India's </t>
    </r>
    <r>
      <rPr>
        <b/>
        <sz val="11"/>
        <color theme="1"/>
        <rFont val="Calibri"/>
        <family val="2"/>
        <scheme val="minor"/>
      </rPr>
      <t>Digital Personal Data Protection Act, 2023</t>
    </r>
    <r>
      <rPr>
        <sz val="11"/>
        <color theme="1"/>
        <rFont val="Calibri"/>
        <family val="2"/>
        <scheme val="minor"/>
      </rPr>
      <t>.</t>
    </r>
  </si>
  <si>
    <t>Responsible Supply Chain — Supplier ESG</t>
  </si>
  <si>
    <r>
      <t xml:space="preserve">Tata Power identifies </t>
    </r>
    <r>
      <rPr>
        <b/>
        <sz val="11"/>
        <color theme="1"/>
        <rFont val="Calibri"/>
        <family val="2"/>
        <scheme val="minor"/>
      </rPr>
      <t>Responsible Supply Chain</t>
    </r>
    <r>
      <rPr>
        <sz val="11"/>
        <color theme="1"/>
        <rFont val="Calibri"/>
        <family val="2"/>
        <scheme val="minor"/>
      </rPr>
      <t xml:space="preserve"> as a material topic. Its supplier ESG framework considers environmental, social, ethical and country-specific risks and screens suppliers accordingly.</t>
    </r>
  </si>
  <si>
    <t>Supply-chain practices can create impacts related to labour, human rights, environment, health &amp; safety and responsible sourcing.</t>
  </si>
  <si>
    <t>Supplier failures can cause disruptions, quality issues, reputational damage and increased procurement costs.</t>
  </si>
  <si>
    <t>ESG screening, supplier assessments, responsible supply-chain policy, supplier ESG awareness and development programmes.</t>
  </si>
  <si>
    <t>FY26 Integrated Annual Report / Tata Power Supplier ESG</t>
  </si>
  <si>
    <t>82; Supplier section</t>
  </si>
  <si>
    <t>Transparency — ESG Disclosure &amp; Accountability</t>
  </si>
  <si>
    <r>
      <t xml:space="preserve">Tata Power identifies </t>
    </r>
    <r>
      <rPr>
        <b/>
        <sz val="11"/>
        <color theme="1"/>
        <rFont val="Calibri"/>
        <family val="2"/>
        <scheme val="minor"/>
      </rPr>
      <t>Transparency and Accountability</t>
    </r>
    <r>
      <rPr>
        <sz val="11"/>
        <color theme="1"/>
        <rFont val="Calibri"/>
        <family val="2"/>
        <scheme val="minor"/>
      </rPr>
      <t xml:space="preserve"> as a material governance topic. FY26 reporting includes integrated reporting, BRSR disclosures and enhanced ESG reporting.</t>
    </r>
  </si>
  <si>
    <t>Transparent reporting supports stakeholder understanding, accountability and informed engagement.</t>
  </si>
  <si>
    <t>Weak transparency can reduce investor confidence and increase regulatory/reputational risk.</t>
  </si>
  <si>
    <t>Integrated reporting, BRSR, assurance, stakeholder dialogue and enhanced ESG disclosures.</t>
  </si>
  <si>
    <t>Innovation — Clean Technology</t>
  </si>
  <si>
    <r>
      <t xml:space="preserve">Tata Power identifies </t>
    </r>
    <r>
      <rPr>
        <b/>
        <sz val="11"/>
        <color theme="1"/>
        <rFont val="Calibri"/>
        <family val="2"/>
        <scheme val="minor"/>
      </rPr>
      <t>Innovation and Collaborations</t>
    </r>
    <r>
      <rPr>
        <sz val="11"/>
        <color theme="1"/>
        <rFont val="Calibri"/>
        <family val="2"/>
        <scheme val="minor"/>
      </rPr>
      <t xml:space="preserve"> as a material topic and highlights technologies such as CCUS, Green Hydrogen, SMR and other emerging solutions, along with collaboration with external technology partners.</t>
    </r>
  </si>
  <si>
    <t>Clean-technology innovation can reduce environmental impacts and support the energy transition.</t>
  </si>
  <si>
    <t>Successful innovation can create new revenue streams and improve efficiency; failure to adapt can create technology and competitiveness risks.</t>
  </si>
  <si>
    <t>Partnerships with startups, technology firms, academic institutions and other organisations; development/adoption of emerging clean technologies.</t>
  </si>
  <si>
    <r>
      <t xml:space="preserve">For our independent DMA, this topic captures responsible economic conduct, value creation, capital allocation and tax-related stakeholder responsibilities. Tata Power's official FY26 material topic is </t>
    </r>
    <r>
      <rPr>
        <b/>
        <sz val="11"/>
        <color theme="1"/>
        <rFont val="Calibri"/>
        <family val="2"/>
        <scheme val="minor"/>
      </rPr>
      <t>Creating Economic Value</t>
    </r>
    <r>
      <rPr>
        <sz val="11"/>
        <color theme="1"/>
        <rFont val="Calibri"/>
        <family val="2"/>
        <scheme val="minor"/>
      </rPr>
      <t>; this topic is now labelled to match it (previously “Responsible Tax &amp; Economic Conduct”). No tax-specific evidence was found in the sources reviewed (see Sources &amp; Checks).</t>
    </r>
  </si>
  <si>
    <t>Responsible economic conduct affects employees, suppliers, governments, investors and communities through value distribution and economic contribution.</t>
  </si>
  <si>
    <t>Efficient capital allocation and sustainable value creation influence long-term financial resilience and shareholder value.</t>
  </si>
  <si>
    <t>Opportunity + Risk</t>
  </si>
  <si>
    <t>Operational excellence, balance-sheet strengthening, efficient capital allocation and creation of economic value.</t>
  </si>
  <si>
    <t>IMPACT SCORING METHODOLOGY</t>
  </si>
  <si>
    <t>Severity Score</t>
  </si>
  <si>
    <t>Classification</t>
  </si>
  <si>
    <t>Definition</t>
  </si>
  <si>
    <t>Likelihood factors</t>
  </si>
  <si>
    <t>Very Low</t>
  </si>
  <si>
    <t>Minimal impact</t>
  </si>
  <si>
    <t>Low</t>
  </si>
  <si>
    <t>Limited impact</t>
  </si>
  <si>
    <t>Moderate</t>
  </si>
  <si>
    <t>Noticeable but manageable</t>
  </si>
  <si>
    <t>Significant stakeholder impact</t>
  </si>
  <si>
    <t>Inherent Impact = (Severity + Scope + Irremediability) / 3</t>
  </si>
  <si>
    <t>Very High</t>
  </si>
  <si>
    <t>Severe/critical impact; potentially irreversible</t>
  </si>
  <si>
    <t>Impact Score = [(Severity + Scope + Irremediability) / 3] × Likelihood Factor</t>
  </si>
  <si>
    <t>Impact Score</t>
  </si>
  <si>
    <t>1.00–1.99</t>
  </si>
  <si>
    <t>2.00–2.99</t>
  </si>
  <si>
    <t>3.00–3.99</t>
  </si>
  <si>
    <t>4.00–5.00</t>
  </si>
  <si>
    <t>Irremediability Score</t>
  </si>
  <si>
    <t>Easily Reversible</t>
  </si>
  <si>
    <t>Impact can be completely corrected quickly</t>
  </si>
  <si>
    <t>Mostly Reversible</t>
  </si>
  <si>
    <t>Can be restored with limited intervention</t>
  </si>
  <si>
    <t>Partially Reversible</t>
  </si>
  <si>
    <t>Restoration is possible but requires significant effort</t>
  </si>
  <si>
    <t>Difficult to Reverse</t>
  </si>
  <si>
    <t>Restoration is difficult, costly or uncertain</t>
  </si>
  <si>
    <t>Irreversible</t>
  </si>
  <si>
    <t>Cannot realistically be restored to the original condition</t>
  </si>
  <si>
    <t>Likelihood Score</t>
  </si>
  <si>
    <t>Very Unlikely</t>
  </si>
  <si>
    <t>Remote possibility</t>
  </si>
  <si>
    <t>Unlikely</t>
  </si>
  <si>
    <t>Could occur, but not expected</t>
  </si>
  <si>
    <t>Possible</t>
  </si>
  <si>
    <t>Reasonably possible</t>
  </si>
  <si>
    <t>Likely</t>
  </si>
  <si>
    <t>Expected to occur under normal/foreseeable conditions</t>
  </si>
  <si>
    <t>Almost Certain</t>
  </si>
  <si>
    <t>Highly likely / ongoing or recurrent exposure</t>
  </si>
  <si>
    <t>Scope Score</t>
  </si>
  <si>
    <t>Very Limited</t>
  </si>
  <si>
    <t>Single site / very small group</t>
  </si>
  <si>
    <t>Limited</t>
  </si>
  <si>
    <t>One location or limited stakeholder group</t>
  </si>
  <si>
    <t>Multiple sites or stakeholder groups</t>
  </si>
  <si>
    <t>Wide</t>
  </si>
  <si>
    <t>Multiple regions / large stakeholder population</t>
  </si>
  <si>
    <t>Very Wide / Systemic</t>
  </si>
  <si>
    <t>Enterprise-wide, national, value-chain or potentially global</t>
  </si>
  <si>
    <t>Tata Power — Double Materiality Assessment | Impact Materiality Scoring</t>
  </si>
  <si>
    <t>Impact Score = Average (Severity + Scope + Irremediability) × Likelihood Factor</t>
  </si>
  <si>
    <t>Impact Description</t>
  </si>
  <si>
    <t>Affected Stakeholders</t>
  </si>
  <si>
    <t>Severity</t>
  </si>
  <si>
    <t>Scope</t>
  </si>
  <si>
    <t>Irremediability</t>
  </si>
  <si>
    <t>Likelihood</t>
  </si>
  <si>
    <t>Materiality</t>
  </si>
  <si>
    <t>Scoring Rationale</t>
  </si>
  <si>
    <t>Evidence Reference</t>
  </si>
  <si>
    <t>Thermal generation contributes to GHG emissions and climate-related impacts, while transition to cleaner energy affects the environmental footprint.</t>
  </si>
  <si>
    <t>Environment, Communities, Customers, Society</t>
  </si>
  <si>
    <t>Global-scale impact with potentially irreversible consequences and high likelihood.</t>
  </si>
  <si>
    <t>FY26 BRSR p.293</t>
  </si>
  <si>
    <t>Coal-based generation contributes materially to Scope 1 emissions and associated climate impacts.</t>
  </si>
  <si>
    <t>Environment, Communities, Society</t>
  </si>
  <si>
    <t>High severity, broad scope and long-term climate consequences.</t>
  </si>
  <si>
    <t>Inefficient energy use can increase resource consumption and environmental footprint across operations.</t>
  </si>
  <si>
    <t>Environment, Customers, Communities</t>
  </si>
  <si>
    <t>Significant operational footprint and high relevance to a power-sector business.</t>
  </si>
  <si>
    <t>Thermal operations can generate SOx, NOx and particulate emissions affecting air quality.</t>
  </si>
  <si>
    <t>Employees, Communities, Environment</t>
  </si>
  <si>
    <t>Potentially severe health and environmental consequences with significant local exposure.</t>
  </si>
  <si>
    <t>Thermal generation can require significant water withdrawal and consumption, particularly in water-stressed areas.</t>
  </si>
  <si>
    <t>Communities, Environment, Water Users</t>
  </si>
  <si>
    <t>Significant resource dependence and potential ecosystem/community impacts.</t>
  </si>
  <si>
    <t>FY26 BRSR p.294</t>
  </si>
  <si>
    <t>Energy infrastructure and land-intensive projects can affect ecosystems, habitats and biodiversity.</t>
  </si>
  <si>
    <t>Environment, Communities</t>
  </si>
  <si>
    <t>Potentially difficult-to-reverse ecological impacts, although likelihood varies by project/location.</t>
  </si>
  <si>
    <t>FY26 Integrated Report</t>
  </si>
  <si>
    <t>Generation and disposal of operational and manufacturing waste can create environmental and community impacts.</t>
  </si>
  <si>
    <t>Environment, Communities, Workers</t>
  </si>
  <si>
    <t>Waste impacts can occur across multiple operations and require effective management.</t>
  </si>
  <si>
    <t>Coal-based operations generate fly ash and bottom ash requiring storage, transportation and beneficial utilisation.</t>
  </si>
  <si>
    <t>Communities, Environment, Workers</t>
  </si>
  <si>
    <t>Large-volume waste stream with potential land, air and water impacts.</t>
  </si>
  <si>
    <t>Solar, wind and other infrastructure projects require land and may affect land use, ecosystems and local communities.</t>
  </si>
  <si>
    <t>Communities, Land Users, Environment</t>
  </si>
  <si>
    <t>Impacts can be geographically significant and difficult to reverse depending on project location.</t>
  </si>
  <si>
    <t>Use of materials and management of end-of-life equipment creates opportunities and impacts related to resource efficiency and circularity.</t>
  </si>
  <si>
    <t>Environment, Suppliers, Communities</t>
  </si>
  <si>
    <t>Resource consumption occurs across the value chain and circularity can reduce environmental pressure.</t>
  </si>
  <si>
    <t>Generation, transmission, distribution and project activities expose workers to electrical, machinery, height and other occupational hazards.</t>
  </si>
  <si>
    <t>Employees, Workers, Contractors</t>
  </si>
  <si>
    <t>Potential for severe or fatal consequences; impacts can be irreversible.</t>
  </si>
  <si>
    <t>FY26 BRSR pp.294–295</t>
  </si>
  <si>
    <t>Employee Health, Wellbeing &amp; Engagement</t>
  </si>
  <si>
    <t>Employee physical, mental, social and financial wellbeing can be affected by workplace conditions and organisational practices.</t>
  </si>
  <si>
    <t>Employees, Families</t>
  </si>
  <si>
    <t>Broad workforce exposure with potential effects on wellbeing and quality of working life.</t>
  </si>
  <si>
    <t>FY26 Integrated Report — People</t>
  </si>
  <si>
    <t>Workforce policies and practices influence equal opportunity, representation and inclusion across employee groups.</t>
  </si>
  <si>
    <t>Employees, Job Seekers, Communities</t>
  </si>
  <si>
    <t>Broad workforce relevance and potential long-term social implications.</t>
  </si>
  <si>
    <t>Access to training, skills development and career opportunities affects workforce capability and employability.</t>
  </si>
  <si>
    <t>Employees, Future Workforce</t>
  </si>
  <si>
    <t>Significant workforce reach, but impacts are generally more reversible than safety or human-rights impacts.</t>
  </si>
  <si>
    <t>Labour Relations &amp; Working Conditions</t>
  </si>
  <si>
    <t>Labour practices influence worker welfare, workplace conditions, engagement and labour-management relationships.</t>
  </si>
  <si>
    <t>Poor practices can create significant and difficult-to-remediate workforce impacts.</t>
  </si>
  <si>
    <t>FY26 Materiality Assessment</t>
  </si>
  <si>
    <t>Human-rights risks may arise across employees, contractors, communities and supply-chain relationships.</t>
  </si>
  <si>
    <t>Employees, Workers, Communities, Suppliers</t>
  </si>
  <si>
    <t>Potentially severe and irreversible impacts involving fundamental rights and dignity.</t>
  </si>
  <si>
    <t>Power infrastructure and operations can influence livelihoods, education, healthcare, employment and local development.</t>
  </si>
  <si>
    <t>Communities, Local Institutions</t>
  </si>
  <si>
    <t>Wide stakeholder reach and significant socioeconomic consequences.</t>
  </si>
  <si>
    <t>FY26 BRSR p.292; IR pp.146–167</t>
  </si>
  <si>
    <t>Availability and affordability of electricity influence household welfare, business activity and socioeconomic development.</t>
  </si>
  <si>
    <t>Customers, Communities, Businesses</t>
  </si>
  <si>
    <t>Very broad consumer reach and direct relevance to socioeconomic wellbeing.</t>
  </si>
  <si>
    <t>Customer Service &amp; Consumer Protection</t>
  </si>
  <si>
    <t>Service quality, grievance handling and customer engagement directly affect consumer experience and protection.</t>
  </si>
  <si>
    <t>Customers, Consumers</t>
  </si>
  <si>
    <t>Large customer base means service-related impacts can affect a wide population.</t>
  </si>
  <si>
    <t>FY26 Integrated Report pp.110–119</t>
  </si>
  <si>
    <t>Generation, transmission and distribution performance affects continuity and reliability of electricity supply.</t>
  </si>
  <si>
    <t>Failure of reliable supply can affect millions of consumers and essential economic activity.</t>
  </si>
  <si>
    <t>Corruption and unethical conduct can undermine trust, fair competition and stakeholder relationships.</t>
  </si>
  <si>
    <t>Employees, Suppliers, Customers, Government</t>
  </si>
  <si>
    <t>Potentially significant impacts on institutional trust and affected stakeholders.</t>
  </si>
  <si>
    <t>FY26 BRSR p.295</t>
  </si>
  <si>
    <t>Non-compliance with environmental, safety, consumer and sector regulations can affect multiple stakeholders.</t>
  </si>
  <si>
    <t>Customers, Employees, Communities, Regulators</t>
  </si>
  <si>
    <t>Broad stakeholder reach and potentially significant consequences from non-compliance.</t>
  </si>
  <si>
    <t>FY26 Integrated Report pp.82–83</t>
  </si>
  <si>
    <t>ESG governance determines how sustainability impacts and risks are integrated into organisational decision-making.</t>
  </si>
  <si>
    <t>Employees, Communities, Investors, Environment</t>
  </si>
  <si>
    <t>Governance decisions can influence impacts across the company's entire operating footprint.</t>
  </si>
  <si>
    <t>Inadequate identification and management of ESG risks can amplify environmental, social and operational impacts.</t>
  </si>
  <si>
    <t>Employees, Customers, Communities, Environment</t>
  </si>
  <si>
    <t>Enterprise-wide influence makes effective risk management important across multiple impact areas.</t>
  </si>
  <si>
    <t>Cyber incidents can disrupt critical electricity infrastructure, operational systems and customer services.</t>
  </si>
  <si>
    <t>Customers, Employees, Communities, Critical Infrastructure Users</t>
  </si>
  <si>
    <t>Potentially severe, widespread and difficult-to-reverse impacts on critical infrastructure and stakeholders.</t>
  </si>
  <si>
    <t>Improper collection, use or disclosure of personal information can directly affect customers and employees.</t>
  </si>
  <si>
    <t>Customers, Employees</t>
  </si>
  <si>
    <t>Large customer base creates broad potential exposure to privacy-related impacts.</t>
  </si>
  <si>
    <t>FY26 Integrated Report p.82</t>
  </si>
  <si>
    <t>Supplier practices can create environmental, labour, human-rights and ethical impacts across Tata Power's value chain.</t>
  </si>
  <si>
    <t>Suppliers, Workers, Communities, Environment</t>
  </si>
  <si>
    <t>Value-chain impacts can extend beyond Tata Power's direct operations.</t>
  </si>
  <si>
    <t>FY26 Integrated Report — Responsible Supply Chain</t>
  </si>
  <si>
    <t>Transparency &amp; Accountability</t>
  </si>
  <si>
    <t>Transparent ESG reporting and accountability mechanisms influence stakeholder trust and informed decision-making.</t>
  </si>
  <si>
    <t>Investors, Customers, Employees, Regulators</t>
  </si>
  <si>
    <t>Broad stakeholder relevance, although impacts are generally less directly severe than safety or environmental impacts.</t>
  </si>
  <si>
    <t>Technology innovation can influence the pace of decarbonisation, energy access and development of cleaner energy solutions.</t>
  </si>
  <si>
    <t>Customers, Communities, Environment, Industry</t>
  </si>
  <si>
    <t>Innovation decisions can influence the wider energy transition and environmental outcomes.</t>
  </si>
  <si>
    <t>FY26 Integrated Report p.83</t>
  </si>
  <si>
    <t>Economic value creation and responsible economic conduct influence employees, suppliers, governments, investors and communities.</t>
  </si>
  <si>
    <t>Employees, Suppliers, Government, Investors, Communities</t>
  </si>
  <si>
    <t>Broad stakeholder relevance but comparatively indirect impact on people and environment.</t>
  </si>
  <si>
    <t>FINANCIAL SCORING METHODOLOGY</t>
  </si>
  <si>
    <t xml:space="preserve"> Magnitude Score</t>
  </si>
  <si>
    <t>Meaning</t>
  </si>
  <si>
    <t>Minimal financial effect; unlikely to meaningfully affect business performance</t>
  </si>
  <si>
    <t>Limited financial effect; manageable within normal operations</t>
  </si>
  <si>
    <t>Could meaningfully affect a business unit, cost base, revenue or project economics</t>
  </si>
  <si>
    <t>Financial Score</t>
  </si>
  <si>
    <t>Could materially affect profitability, cash flows, assets, liabilities, capex or financing</t>
  </si>
  <si>
    <t>Potentially major enterprise-level financial effect, including substantial asset impairment, revenue disruption or capital requirements</t>
  </si>
  <si>
    <t>Score</t>
  </si>
  <si>
    <t>Time Horizon</t>
  </si>
  <si>
    <t>Very Long Term</t>
  </si>
  <si>
    <t>&gt;10 years</t>
  </si>
  <si>
    <t>Long Term</t>
  </si>
  <si>
    <t>5–10 years</t>
  </si>
  <si>
    <t>Medium Term</t>
  </si>
  <si>
    <t>3–5 years</t>
  </si>
  <si>
    <t>Short Term</t>
  </si>
  <si>
    <t>1–3 years</t>
  </si>
  <si>
    <t>Immediate / Current</t>
  </si>
  <si>
    <t>&lt;1 year / already occurring</t>
  </si>
  <si>
    <t>Tata Power — Financial Materiality Assessment</t>
  </si>
  <si>
    <t>Financial Scoring of ESG Topics | FY2025–26</t>
  </si>
  <si>
    <t>Magnitude</t>
  </si>
  <si>
    <t>&lt;1 year</t>
  </si>
  <si>
    <t>Impact &amp; Financial Materiality of ESG Topics | FY2025–26</t>
  </si>
  <si>
    <t>Vertical Threshold</t>
  </si>
  <si>
    <t>Horizontal Threshold</t>
  </si>
  <si>
    <t>Financial X</t>
  </si>
  <si>
    <t>Impact Y</t>
  </si>
  <si>
    <t>Impact Materiality</t>
  </si>
  <si>
    <t>Financial Materiality</t>
  </si>
  <si>
    <t>DMA Classification</t>
  </si>
  <si>
    <t>Number of Topics</t>
  </si>
  <si>
    <t>Double Material</t>
  </si>
  <si>
    <t>Impact Material</t>
  </si>
  <si>
    <t>≥ 3.00</t>
  </si>
  <si>
    <t>Financially Material</t>
  </si>
  <si>
    <t>&lt; 3.00</t>
  </si>
  <si>
    <t>Below Threshold</t>
  </si>
  <si>
    <t>Tata Power — IRO &amp; Strategic Recommendations</t>
  </si>
  <si>
    <t>Impacts, Risks &amp; Opportunities arising from Double Materiality Assessment | FY2025–26</t>
  </si>
  <si>
    <t>DMA</t>
  </si>
  <si>
    <t>Material IRO</t>
  </si>
  <si>
    <t>IRO Type</t>
  </si>
  <si>
    <t>Strategic Recommendation</t>
  </si>
  <si>
    <t>Suggested KPI</t>
  </si>
  <si>
    <t>Priority</t>
  </si>
  <si>
    <t>Climate transition and physical climate risks affecting operations and stakeholders</t>
  </si>
  <si>
    <t>Impact + Risk + Opportunity</t>
  </si>
  <si>
    <t>Develop a climate transition roadmap and integrate physical and transition climate risks into business and capital planning.</t>
  </si>
  <si>
    <t>Scope 1 &amp; 2 emissions; renewable capacity %; climate-risk assessed assets</t>
  </si>
  <si>
    <t>Critical</t>
  </si>
  <si>
    <t>GHG emissions from operations and value chain contributing to climate change</t>
  </si>
  <si>
    <t>Impact + Risk</t>
  </si>
  <si>
    <t>Strengthen Scope 1, 2 and 3 measurement and implement asset-level emissions reduction pathways.</t>
  </si>
  <si>
    <t>Scope 1/2/3 emissions; emissions intensity</t>
  </si>
  <si>
    <t>Actual or potential positive/negative effect on people or environment</t>
  </si>
  <si>
    <t>Energy consumption and efficiency of power operations</t>
  </si>
  <si>
    <t>Scale energy-efficiency initiatives, digital monitoring and renewable-energy sourcing across operations.</t>
  </si>
  <si>
    <t>Energy intensity; renewable energy %</t>
  </si>
  <si>
    <t>ESG-related factor that could negatively affect Tata Power's financial position/performance</t>
  </si>
  <si>
    <t>SOx, NOx, particulate matter and other operational emissions</t>
  </si>
  <si>
    <t>Strengthen emissions monitoring and pollution-control systems across relevant generating assets.</t>
  </si>
  <si>
    <t>SOx/NOx/PM emissions; compliance rate</t>
  </si>
  <si>
    <t>Opportunity</t>
  </si>
  <si>
    <t>ESG-related factor that could create business, financial or strategic value</t>
  </si>
  <si>
    <t>Water withdrawal, consumption and discharge affecting water resources</t>
  </si>
  <si>
    <t>Implement water stewardship plans, recycling/reuse systems and water-risk assessments at high-risk locations.</t>
  </si>
  <si>
    <t>Water withdrawal; water intensity; reuse %</t>
  </si>
  <si>
    <t>Material impact with corresponding financial risk</t>
  </si>
  <si>
    <t>Potential ecosystem and habitat impacts from infrastructure and operations</t>
  </si>
  <si>
    <t>Integrate biodiversity screening, mitigation hierarchy and restoration planning into project development.</t>
  </si>
  <si>
    <t>Sites screened; biodiversity mitigation/restoration</t>
  </si>
  <si>
    <t>Medium</t>
  </si>
  <si>
    <t>Impact + Opportunity</t>
  </si>
  <si>
    <t>Material impact with corresponding business opportunity</t>
  </si>
  <si>
    <t>Generation, disposal and treatment of operational waste</t>
  </si>
  <si>
    <t>Increase segregation, recycling, resource recovery and circularity across operations.</t>
  </si>
  <si>
    <t>Waste generated; recycling/recovery %</t>
  </si>
  <si>
    <t>Material impact with both financial risk and opportunity</t>
  </si>
  <si>
    <t>Environmental and community impacts from fly ash and bottom ash</t>
  </si>
  <si>
    <t>Increase beneficial ash utilisation while strengthening storage, transportation and disposal controls.</t>
  </si>
  <si>
    <t>Ash utilisation %; ash generated</t>
  </si>
  <si>
    <t>Land footprint and associated local environmental impacts</t>
  </si>
  <si>
    <t>Strengthen land-impact assessment and mitigation during project planning and operations.</t>
  </si>
  <si>
    <t>Land footprint; area restored/rehabilitated</t>
  </si>
  <si>
    <t>Resource consumption and opportunities for material circularity</t>
  </si>
  <si>
    <t>Integrate circular-economy principles into procurement, operations and end-of-life management.</t>
  </si>
  <si>
    <t>Recycled/reused material %; resource intensity</t>
  </si>
  <si>
    <t>Double Material + very high impact/financial exposure or direct business continuity/strategic significance</t>
  </si>
  <si>
    <t>Workplace injuries, fatalities and unsafe working conditions</t>
  </si>
  <si>
    <t>Strengthen contractor safety governance, predictive safety systems, training and near-miss reporting.</t>
  </si>
  <si>
    <t>LTIFR; fatalities; near-miss reporting</t>
  </si>
  <si>
    <t>Double Material with material impact and financial exposure, but comparatively lower urgency/scale</t>
  </si>
  <si>
    <t>Employee wellbeing, engagement and workforce experience</t>
  </si>
  <si>
    <t>Strengthen employee listening, wellbeing programmes and engagement mechanisms across the workforce.</t>
  </si>
  <si>
    <t>Engagement score; wellbeing participation</t>
  </si>
  <si>
    <t>Impact Material topics where stakeholder/environmental impact is material but financial exposure is below threshold</t>
  </si>
  <si>
    <t>Workforce diversity, inclusion and equal opportunity</t>
  </si>
  <si>
    <t>Strengthen diverse talent pipelines, inclusive leadership and representation initiatives.</t>
  </si>
  <si>
    <t>Women workforce %; women leadership %; inclusion score</t>
  </si>
  <si>
    <t>Monitor</t>
  </si>
  <si>
    <t>Below Threshold topics</t>
  </si>
  <si>
    <t>Skills gaps and future capability requirements affecting business performance</t>
  </si>
  <si>
    <t>Build future-skills programmes covering renewable energy, digitalisation, technology and sustainability capabilities.</t>
  </si>
  <si>
    <t>Training hours; critical-skill coverage; internal mobility</t>
  </si>
  <si>
    <t>Working conditions, labour relations and workforce practices</t>
  </si>
  <si>
    <t>Strengthen grievance mechanisms, workforce engagement and monitoring of working conditions across operations and contractors.</t>
  </si>
  <si>
    <t>Grievance resolution rate; workforce assessment coverage</t>
  </si>
  <si>
    <t>Potential human-rights impacts across operations and supply chain</t>
  </si>
  <si>
    <t>Strengthen human-rights due diligence, supplier screening and grievance mechanisms.</t>
  </si>
  <si>
    <t>Human-rights assessments; supplier screening %</t>
  </si>
  <si>
    <t>Effects of power projects and operations on surrounding communities</t>
  </si>
  <si>
    <t>Implement structured community-impact assessments and strengthen stakeholder engagement around projects.</t>
  </si>
  <si>
    <t>Community beneficiaries; grievances resolved; CSR investment</t>
  </si>
  <si>
    <t>Access to reliable and affordable electricity for consumers and communities</t>
  </si>
  <si>
    <t>Expand affordable clean-energy solutions and programmes supporting underserved customer segments.</t>
  </si>
  <si>
    <t>Customers served; access/affordability metrics</t>
  </si>
  <si>
    <t>Customer experience, complaints and consumer protection</t>
  </si>
  <si>
    <t>Strengthen service responsiveness, grievance resolution and consumer-protection mechanisms.</t>
  </si>
  <si>
    <t>Complaint resolution time; customer satisfaction</t>
  </si>
  <si>
    <t>Reliability and continuity of electricity supply</t>
  </si>
  <si>
    <t>Invest in grid resilience, predictive maintenance and digital monitoring to improve reliability.</t>
  </si>
  <si>
    <t>SAIDI/SAIFI; outage duration; reliability rate</t>
  </si>
  <si>
    <t>Corruption, bribery and unethical conduct risks</t>
  </si>
  <si>
    <t>Strengthen ethics training, third-party due diligence, whistleblower mechanisms and monitoring.</t>
  </si>
  <si>
    <t>Ethics training %; substantiated cases; third-party screening %</t>
  </si>
  <si>
    <t>Non-compliance with environmental, safety and sector regulations</t>
  </si>
  <si>
    <t>Strengthen regulatory monitoring, compliance controls and accountability for obligations.</t>
  </si>
  <si>
    <t>Compliance rate; regulatory incidents</t>
  </si>
  <si>
    <t>ESG oversight, accountability and integration into decision-making</t>
  </si>
  <si>
    <t>Strengthen Board-level ESG oversight and management accountability for material ESG objectives.</t>
  </si>
  <si>
    <t>Board ESG reviews; ESG targets linked to accountability</t>
  </si>
  <si>
    <t>ESG risks affecting business continuity, strategy and stakeholders</t>
  </si>
  <si>
    <t>Integrate material ESG risks into enterprise risk management and strategic planning.</t>
  </si>
  <si>
    <t>ESG risks in ERM; mitigation closure rate</t>
  </si>
  <si>
    <t>Cyber threats affecting critical infrastructure and operations</t>
  </si>
  <si>
    <t>Strengthen IT/OT cybersecurity, incident response and resilience testing across critical assets.</t>
  </si>
  <si>
    <t>Cyber incidents; systems tested; response time</t>
  </si>
  <si>
    <t>Customer and employee data protection risks</t>
  </si>
  <si>
    <t>Strengthen privacy governance, access controls, consent management and breach-response mechanisms.</t>
  </si>
  <si>
    <t>Data breaches; privacy training; resolution time</t>
  </si>
  <si>
    <t>Environmental, social and human-rights risks within the supply chain</t>
  </si>
  <si>
    <t>Implement risk-based ESG supplier screening, audits and corrective-action tracking.</t>
  </si>
  <si>
    <t>Suppliers screened; supplier assessments/audits</t>
  </si>
  <si>
    <t>ESG disclosure quality and stakeholder access to sustainability information</t>
  </si>
  <si>
    <t>Continue improving ESG transparency, disclosure quality, data governance and assurance coverage.</t>
  </si>
  <si>
    <t>ESG disclosures assured; reporting coverage</t>
  </si>
  <si>
    <t>Clean-energy innovation supporting environmental transition and business growth</t>
  </si>
  <si>
    <t>Accelerate investment in renewable energy, storage, smart-grid and other clean technologies.</t>
  </si>
  <si>
    <t>Clean-tech capex; renewable/storage capacity</t>
  </si>
  <si>
    <t>Responsible economic contribution, tax compliance and stakeholder value creation</t>
  </si>
  <si>
    <t>Strengthen tax governance, compliance controls and transparent economic-value reporting.</t>
  </si>
  <si>
    <t>Tax compliance incidents; economic value distributed</t>
  </si>
  <si>
    <t>Recommended action</t>
  </si>
  <si>
    <t>Official topics (FY26)</t>
  </si>
  <si>
    <t>Official 'Very High priority' topics</t>
  </si>
  <si>
    <t>Official 'High priority' topics (read from chart)</t>
  </si>
  <si>
    <t>Official 'Medium priority' topics</t>
  </si>
  <si>
    <t>Absolute Tier 1 cut-off (impact AND financial &gt;=)</t>
  </si>
  <si>
    <t>Absolute Tier 2 cut-off (impact AND financial &gt;=)</t>
  </si>
  <si>
    <t>Grade A needs: Alignment Index &gt;=</t>
  </si>
  <si>
    <t>Grade A needs: top-band Recall &gt;=</t>
  </si>
  <si>
    <t>Grade B needs: Alignment Index &gt;=</t>
  </si>
  <si>
    <t>Grade B needs: top-band Recall &gt;=</t>
  </si>
  <si>
    <t>RESULTS</t>
  </si>
  <si>
    <t>Alignment Index (avg alignment score / 3)</t>
  </si>
  <si>
    <t>Top-band Recall (official Very High that you also rank Very High-equivalent)</t>
  </si>
  <si>
    <t>Top-band Precision (your Very High-equivalent that official also rates Very High)</t>
  </si>
  <si>
    <t>Overall benchmark grade</t>
  </si>
  <si>
    <t>Topics aligned exactly</t>
  </si>
  <si>
    <t>Topics you rate higher than official</t>
  </si>
  <si>
    <t>Topics official rates higher than you</t>
  </si>
  <si>
    <t>Topics with no official equivalent / missing from your universe</t>
  </si>
  <si>
    <t>Edge cases (rank within 1 of a band cut-off): treat with care</t>
  </si>
  <si>
    <t>Read-across</t>
  </si>
  <si>
    <t>Your ID</t>
  </si>
  <si>
    <t>Priority score (impact x financial)</t>
  </si>
  <si>
    <t>Rank (1 = highest)</t>
  </si>
  <si>
    <t>Official #</t>
  </si>
  <si>
    <t>Official topic (FY26)</t>
  </si>
  <si>
    <t>Official band certainty</t>
  </si>
  <si>
    <t>Mapping</t>
  </si>
  <si>
    <t>Counts in index?</t>
  </si>
  <si>
    <t>Alignment score (0-3)</t>
  </si>
  <si>
    <t>Edge case?</t>
  </si>
  <si>
    <t>What to say / next check</t>
  </si>
  <si>
    <t>Climate strategy</t>
  </si>
  <si>
    <t>1:1</t>
  </si>
  <si>
    <t>Y</t>
  </si>
  <si>
    <t>Both top band.</t>
  </si>
  <si>
    <t>Emissions management</t>
  </si>
  <si>
    <t>Merged</t>
  </si>
  <si>
    <t>Official #2 covers GHG plus SOx/NOx/PM together (BRSR p.293).</t>
  </si>
  <si>
    <t>Energy management</t>
  </si>
  <si>
    <t>N</t>
  </si>
  <si>
    <t>Folded into official #2, so excluded from the index to avoid double counting.</t>
  </si>
  <si>
    <t>Water and effluent management</t>
  </si>
  <si>
    <t>Official Very High. Company has a 2030 water-neutrality goal and 'Aspiring' certification (BRSR p.319). Best re-tier candidate.</t>
  </si>
  <si>
    <t>Safeguarding biodiversity</t>
  </si>
  <si>
    <t>Both see high impact, lower financial (official dot sits high on the impact axis).</t>
  </si>
  <si>
    <t>Hazardous and toxic waste management</t>
  </si>
  <si>
    <t>Reframed</t>
  </si>
  <si>
    <t>Official topic is narrower (hazardous &amp; toxic); yours also spans non-hazardous waste.</t>
  </si>
  <si>
    <t>n/a</t>
  </si>
  <si>
    <t>No standalone official topic</t>
  </si>
  <si>
    <t>None</t>
  </si>
  <si>
    <t>Sector-specific addition by you; no ash topic in the official list. Keep and say why.</t>
  </si>
  <si>
    <t>Land footprint appears only as a negative impact under official #4 (BRSR p.294).</t>
  </si>
  <si>
    <t>Product design and lifecycle management*</t>
  </si>
  <si>
    <t>New in FY26 and only Medium. Broader than your circularity framing; check whether PV/battery end-of-life sits here.</t>
  </si>
  <si>
    <t>Occupational health and safety</t>
  </si>
  <si>
    <t>Both top band; official dot 13 is highest on impact.</t>
  </si>
  <si>
    <t>Responsible employer</t>
  </si>
  <si>
    <t>Renamed in FY26 from 'Socially responsible employer' (AR p.79).</t>
  </si>
  <si>
    <t>Diversity and inclusion in workplace</t>
  </si>
  <si>
    <t>Official has it Medium; you rank it near the bottom too (tie), so the gap is a band-edge effect.</t>
  </si>
  <si>
    <t>Employee retention, engagement and talent development</t>
  </si>
  <si>
    <t>Labour management</t>
  </si>
  <si>
    <t>Building sustainable communities</t>
  </si>
  <si>
    <t>Access and affordability*</t>
  </si>
  <si>
    <t>New in FY26; official High. You rank it top-band: defend with consumer reach (13.1M) or lower it.</t>
  </si>
  <si>
    <t>Customer relationship management</t>
  </si>
  <si>
    <t>Continuous and affordable green power</t>
  </si>
  <si>
    <t>Closest match to official #4 (supply continuity + green + affordable).</t>
  </si>
  <si>
    <t>Ethical business conduct</t>
  </si>
  <si>
    <t>Official Very High (Tata Code of Conduct, bidding/PPA conduct: BRSR p.295). Biggest governance gap. Edge case.</t>
  </si>
  <si>
    <t>Regulatory compliance and landscape</t>
  </si>
  <si>
    <t>You rank it top band; official High. Justify or lower.</t>
  </si>
  <si>
    <t>ESG governance</t>
  </si>
  <si>
    <t>Risk management and BCDMP</t>
  </si>
  <si>
    <t>Official dot 21 sits just below the Very High curve (certainty Medium).</t>
  </si>
  <si>
    <t>Digitalisation, data privacy and cyber security</t>
  </si>
  <si>
    <t>Official merged data privacy into this topic in FY26 (AR p.79).</t>
  </si>
  <si>
    <t>Same official topic as G05; excluded from index. Consider merging G05+G06.</t>
  </si>
  <si>
    <t>Responsible supply chain</t>
  </si>
  <si>
    <t>Official dot sits on the High/Medium boundary (certainty Low).</t>
  </si>
  <si>
    <t>Transparency and accountability</t>
  </si>
  <si>
    <t>Official rates its financial importance higher than you do.</t>
  </si>
  <si>
    <t>Innovation and collaborations</t>
  </si>
  <si>
    <t>Official also has #26 New business opportunities (last row); you rank the merged idea top band.</t>
  </si>
  <si>
    <t>Creating economic value</t>
  </si>
  <si>
    <t>Score 0 = not disclosed, 1 = partly disclosed, 2 = clearly disclosed. Reference points: ESRS 2 (IRO-1) and GRI 3 (3-1, 3-2). Scores are analyst judgements against the evidence shown; change them if you disagree.</t>
  </si>
  <si>
    <t>Grade A needs score &gt;=</t>
  </si>
  <si>
    <t>Grade B needs score &gt;=</t>
  </si>
  <si>
    <t>Grade C needs score &gt;=</t>
  </si>
  <si>
    <t>Criterion</t>
  </si>
  <si>
    <t>Good-practice reference</t>
  </si>
  <si>
    <t>Official DMA score (0-2)</t>
  </si>
  <si>
    <t>Evidence for the official score</t>
  </si>
  <si>
    <t>Frameworks named</t>
  </si>
  <si>
    <t>ESRS 1/2, GRI 3-1</t>
  </si>
  <si>
    <t>ESRS, GRI, SASB, DJSI, MSCI, Sustainalytics named (AR p.78).</t>
  </si>
  <si>
    <t>Both dimensions assessed and defined</t>
  </si>
  <si>
    <t>ESRS 1 s.3.2; GRI 3-2</t>
  </si>
  <si>
    <t>Impact ('inside-out') and financial ('outside-in') defined and both plotted (AR p.78-80).</t>
  </si>
  <si>
    <t>Process steps disclosed</t>
  </si>
  <si>
    <t>GRI 3-1; ESRS 2 IRO-1</t>
  </si>
  <si>
    <t>Seven-step process from topic identification to leadership concurrence (AR pp.78-79).</t>
  </si>
  <si>
    <t>Stakeholder engagement (who, how many, how)</t>
  </si>
  <si>
    <t>GRI 3-1; ESRS 1 s.3.3</t>
  </si>
  <si>
    <t>Groups named (employees, investors, supply chain, NGOs, media, customers) but no numbers, sample or method (AR p.79).</t>
  </si>
  <si>
    <t>Scales and thresholds disclosed</t>
  </si>
  <si>
    <t>ESRS 1 s.3.4-3.5</t>
  </si>
  <si>
    <t>'Structured scoring methodology' only; no scales or thresholds (AR p.79).</t>
  </si>
  <si>
    <t>Topic-level results disclosed</t>
  </si>
  <si>
    <t>GRI 3-2</t>
  </si>
  <si>
    <t>Matrix positions plotted; no numeric scores (AR p.80).</t>
  </si>
  <si>
    <t>IROs disclosed per material topic</t>
  </si>
  <si>
    <t>ESRS 2 IRO-1; GRI 3-3</t>
  </si>
  <si>
    <t>IROs given for the 10 Very High topics only (AR p.81; BRSR Q26 pp.293-295).</t>
  </si>
  <si>
    <t>Time horizon and value-chain position</t>
  </si>
  <si>
    <t>ESRS 1 s.3.3, s.6</t>
  </si>
  <si>
    <t>Timeframe and upstream/own/downstream given for the 10 Very High topics (AR p.81).</t>
  </si>
  <si>
    <t>Independent assurance of the DMA</t>
  </si>
  <si>
    <t>ESRS 1 s.3.6; GRI 3</t>
  </si>
  <si>
    <t>TUV reviewed the stakeholder and materiality process to validate qualitative statements (TUV India assurance statement in the Annual Report); not a full DMA assurance.</t>
  </si>
  <si>
    <t>Refresh cycle and leadership approval</t>
  </si>
  <si>
    <t>ESRS 1 s.3.6</t>
  </si>
  <si>
    <t>Redone every three years; CSO review and apex leadership validation (AR pp.78-79).</t>
  </si>
  <si>
    <t>Change log versus prior assessment</t>
  </si>
  <si>
    <t>GRI 3-2 (changes)</t>
  </si>
  <si>
    <t>Two topics added and two renamed, with reasons (AR p.79).</t>
  </si>
  <si>
    <t>Link from topics to targets and KPIs</t>
  </si>
  <si>
    <t>GRI 3-3; ESRS 2</t>
  </si>
  <si>
    <t>Targets tracked for selected topics (AR pp.72-73); not mapped topic by topic.</t>
  </si>
  <si>
    <t>Total (max 24)</t>
  </si>
  <si>
    <t>Score %</t>
  </si>
  <si>
    <t>Grade</t>
  </si>
  <si>
    <t>Reading</t>
  </si>
  <si>
    <t>Official: strong on process, governance and change log; thin on scales, thresholds and topic-level numbers.</t>
  </si>
  <si>
    <t>Tata Power - DMA Quality Scorecard | FY2025–26</t>
  </si>
  <si>
    <t>Project DMA score (0-2)</t>
  </si>
  <si>
    <t xml:space="preserve">Gap </t>
  </si>
  <si>
    <t>Tata Power -  Benchmark | FY2025–26</t>
  </si>
  <si>
    <t>Tata Powers Offcicial DMA vs Independent DMA</t>
  </si>
  <si>
    <t>Topics in Independent  DMA</t>
  </si>
  <si>
    <t>Cut-off rank for Very High-equivalent (project topics)</t>
  </si>
  <si>
    <t>Cut-off rank for High-equivalent (project topics)</t>
  </si>
  <si>
    <t>Project impact score</t>
  </si>
  <si>
    <t>Project financial score</t>
  </si>
  <si>
    <t>Project band (distribution-matched)</t>
  </si>
  <si>
    <t>Project tier (absolute cut-offs)</t>
  </si>
  <si>
    <t>Gap (Project - Official)</t>
  </si>
  <si>
    <t>Project topic</t>
  </si>
  <si>
    <t>Tata Power at a Glance | FY2025 - 26</t>
  </si>
  <si>
    <t>Official = Integrated Annual Report 2025-26 pp.78-81 (27 topics; bands READ FROM THE MATRIX CHART, approximate near band edges). Project = DMA Matrix scores (live link to the DMA Matrix sheet, by topic ID). Mapping, band cut-offs and grade thresholds are analyst-defined; see notes below.</t>
  </si>
  <si>
    <t>Official FY26 topic &amp; band</t>
  </si>
  <si>
    <t>One-to-one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</si>
</sst>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7" x14ac:knownFonts="1">
    <font>
      <sz val="11"/>
      <color theme="1"/>
      <name val="Calibri"/>
      <family val="2"/>
      <scheme val="minor"/>
    </font>
    <font>
      <b/>
      <sz val="11"/>
      <color theme="1"/>
      <name val="Calibri"/>
      <family val="2"/>
      <scheme val="minor"/>
    </font>
    <font>
      <sz val="11"/>
      <color rgb="FFFF0000"/>
      <name val="Calibri"/>
      <family val="2"/>
      <scheme val="minor"/>
    </font>
    <font>
      <sz val="11"/>
      <color theme="9"/>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12"/>
      <color theme="9" tint="-0.249977111117893"/>
      <name val="Calibri"/>
      <family val="2"/>
      <scheme val="minor"/>
    </font>
    <font>
      <b/>
      <sz val="12"/>
      <color theme="0"/>
      <name val="Calibri"/>
      <family val="2"/>
      <scheme val="minor"/>
    </font>
    <font>
      <b/>
      <sz val="14"/>
      <color theme="0"/>
      <name val="Calibri"/>
      <family val="2"/>
      <scheme val="minor"/>
    </font>
    <font>
      <b/>
      <sz val="11"/>
      <color theme="0"/>
      <name val="Calibri"/>
      <family val="2"/>
      <scheme val="minor"/>
    </font>
    <font>
      <sz val="11"/>
      <color theme="1"/>
      <name val="Calibri"/>
      <family val="2"/>
      <scheme val="minor"/>
    </font>
    <font>
      <b/>
      <sz val="13.5"/>
      <color theme="1"/>
      <name val="Calibri"/>
      <family val="2"/>
      <scheme val="minor"/>
    </font>
    <font>
      <sz val="12"/>
      <color theme="1"/>
      <name val="Calibri"/>
      <family val="2"/>
      <scheme val="minor"/>
    </font>
    <font>
      <b/>
      <sz val="10"/>
      <color rgb="FF000000"/>
      <name val="Arial"/>
      <family val="2"/>
    </font>
    <font>
      <sz val="10"/>
      <color rgb="FF000000"/>
      <name val="Arial"/>
      <family val="2"/>
    </font>
    <font>
      <sz val="11"/>
      <color theme="1"/>
      <name val="Calibri"/>
      <family val="2"/>
    </font>
    <font>
      <b/>
      <i/>
      <sz val="9"/>
      <color rgb="FF595959"/>
      <name val="Arial"/>
      <family val="2"/>
    </font>
    <font>
      <sz val="14"/>
      <color theme="1"/>
      <name val="Calibri"/>
      <family val="2"/>
      <scheme val="minor"/>
    </font>
    <font>
      <sz val="10"/>
      <color rgb="FF000000"/>
      <name val="Calibri"/>
      <family val="2"/>
      <scheme val="minor"/>
    </font>
    <font>
      <sz val="10"/>
      <color rgb="FF0000FF"/>
      <name val="Calibri"/>
      <family val="2"/>
      <scheme val="minor"/>
    </font>
    <font>
      <b/>
      <sz val="10"/>
      <color rgb="FF000000"/>
      <name val="Calibri"/>
      <family val="2"/>
      <scheme val="minor"/>
    </font>
    <font>
      <b/>
      <sz val="10"/>
      <color rgb="FF595959"/>
      <name val="Calibri"/>
      <family val="2"/>
      <scheme val="minor"/>
    </font>
    <font>
      <b/>
      <sz val="16"/>
      <color theme="0"/>
      <name val="Calibri"/>
      <family val="2"/>
      <scheme val="minor"/>
    </font>
    <font>
      <sz val="10"/>
      <color theme="1"/>
      <name val="Calibri"/>
      <family val="2"/>
      <scheme val="minor"/>
    </font>
    <font>
      <b/>
      <sz val="10"/>
      <color theme="1"/>
      <name val="Calibri"/>
      <family val="2"/>
      <scheme val="minor"/>
    </font>
    <font>
      <sz val="10"/>
      <color rgb="FF008000"/>
      <name val="Calibri"/>
      <family val="2"/>
      <scheme val="minor"/>
    </font>
  </fonts>
  <fills count="35">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5"/>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9"/>
        <bgColor indexed="64"/>
      </patternFill>
    </fill>
    <fill>
      <patternFill patternType="solid">
        <fgColor theme="7" tint="0.39997558519241921"/>
        <bgColor indexed="64"/>
      </patternFill>
    </fill>
    <fill>
      <patternFill patternType="solid">
        <fgColor theme="8"/>
        <bgColor indexed="64"/>
      </patternFill>
    </fill>
    <fill>
      <patternFill patternType="solid">
        <fgColor theme="8" tint="0.59999389629810485"/>
        <bgColor indexed="64"/>
      </patternFill>
    </fill>
    <fill>
      <patternFill patternType="solid">
        <fgColor theme="7"/>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D9E1F2"/>
        <bgColor rgb="FFF2F2F2"/>
      </patternFill>
    </fill>
    <fill>
      <patternFill patternType="solid">
        <fgColor theme="7" tint="0.59999389629810485"/>
        <bgColor indexed="64"/>
      </patternFill>
    </fill>
    <fill>
      <patternFill patternType="solid">
        <fgColor theme="4" tint="0.39997558519241921"/>
        <bgColor rgb="FF333333"/>
      </patternFill>
    </fill>
    <fill>
      <patternFill patternType="solid">
        <fgColor theme="5" tint="0.59999389629810485"/>
        <bgColor rgb="FFFFFFFF"/>
      </patternFill>
    </fill>
    <fill>
      <patternFill patternType="solid">
        <fgColor theme="5" tint="0.59999389629810485"/>
        <bgColor rgb="FFF2F2F2"/>
      </patternFill>
    </fill>
    <fill>
      <patternFill patternType="solid">
        <fgColor theme="0"/>
        <bgColor rgb="FFFFFFFF"/>
      </patternFill>
    </fill>
    <fill>
      <patternFill patternType="solid">
        <fgColor theme="0"/>
        <bgColor indexed="64"/>
      </patternFill>
    </fill>
    <fill>
      <patternFill patternType="solid">
        <fgColor theme="0"/>
        <bgColor rgb="FFF2F2F2"/>
      </patternFill>
    </fill>
    <fill>
      <patternFill patternType="solid">
        <fgColor theme="9" tint="0.39997558519241921"/>
        <bgColor rgb="FFF2F2F2"/>
      </patternFill>
    </fill>
    <fill>
      <patternFill patternType="solid">
        <fgColor theme="7" tint="0.39997558519241921"/>
        <bgColor rgb="FF333333"/>
      </patternFill>
    </fill>
    <fill>
      <patternFill patternType="solid">
        <fgColor theme="5" tint="0.79998168889431442"/>
        <bgColor rgb="FFFFFFFF"/>
      </patternFill>
    </fill>
    <fill>
      <patternFill patternType="solid">
        <fgColor theme="5" tint="0.79998168889431442"/>
        <bgColor rgb="FFF2F2F2"/>
      </patternFill>
    </fill>
    <fill>
      <patternFill patternType="solid">
        <fgColor theme="6" tint="0.79998168889431442"/>
        <bgColor rgb="FFFFFFFF"/>
      </patternFill>
    </fill>
    <fill>
      <patternFill patternType="solid">
        <fgColor theme="6"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3">
    <xf numFmtId="0" fontId="0" fillId="0" borderId="0" xfId="0"/>
    <xf numFmtId="0" fontId="0" fillId="0" borderId="0" xfId="0" applyAlignment="1">
      <alignment vertic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0" fontId="1" fillId="0" borderId="0" xfId="0" applyFont="1" applyAlignment="1">
      <alignment horizontal="righ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vertical="center"/>
    </xf>
    <xf numFmtId="0" fontId="1"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1" fillId="5" borderId="1" xfId="0" applyFont="1" applyFill="1" applyBorder="1" applyAlignment="1">
      <alignment horizontal="center" vertical="center" wrapText="1"/>
    </xf>
    <xf numFmtId="0" fontId="0" fillId="12" borderId="1" xfId="0" applyFill="1" applyBorder="1" applyAlignment="1">
      <alignment horizontal="center"/>
    </xf>
    <xf numFmtId="0" fontId="0" fillId="2" borderId="1" xfId="0" applyFill="1" applyBorder="1" applyAlignment="1">
      <alignment horizontal="center" vertical="center" wrapText="1"/>
    </xf>
    <xf numFmtId="0" fontId="1" fillId="5" borderId="1" xfId="0" applyFont="1" applyFill="1" applyBorder="1" applyAlignment="1">
      <alignment horizontal="center" wrapText="1"/>
    </xf>
    <xf numFmtId="0" fontId="1" fillId="0" borderId="0" xfId="0" applyFont="1" applyAlignment="1">
      <alignment horizontal="center" wrapText="1"/>
    </xf>
    <xf numFmtId="0" fontId="0" fillId="7" borderId="1" xfId="0" applyFill="1" applyBorder="1" applyAlignment="1">
      <alignment horizontal="center" wrapText="1"/>
    </xf>
    <xf numFmtId="0" fontId="1" fillId="0" borderId="1" xfId="0" applyFont="1" applyBorder="1" applyAlignment="1">
      <alignment horizontal="center" wrapText="1"/>
    </xf>
    <xf numFmtId="0" fontId="1" fillId="2" borderId="1" xfId="0" applyFont="1" applyFill="1" applyBorder="1" applyAlignment="1">
      <alignment horizontal="center" wrapText="1"/>
    </xf>
    <xf numFmtId="0" fontId="0" fillId="2" borderId="1" xfId="0" applyFill="1" applyBorder="1" applyAlignment="1">
      <alignment horizontal="center" wrapText="1"/>
    </xf>
    <xf numFmtId="0" fontId="1" fillId="8" borderId="1" xfId="0" applyFont="1" applyFill="1" applyBorder="1" applyAlignment="1">
      <alignment horizontal="center" wrapText="1"/>
    </xf>
    <xf numFmtId="0" fontId="0" fillId="8" borderId="1" xfId="0" applyFill="1" applyBorder="1" applyAlignment="1">
      <alignment horizontal="center" wrapText="1"/>
    </xf>
    <xf numFmtId="0" fontId="1" fillId="9" borderId="1" xfId="0" applyFont="1" applyFill="1" applyBorder="1" applyAlignment="1">
      <alignment horizontal="center" wrapText="1"/>
    </xf>
    <xf numFmtId="0" fontId="0" fillId="9" borderId="1" xfId="0" applyFill="1" applyBorder="1" applyAlignment="1">
      <alignment horizontal="center" wrapText="1"/>
    </xf>
    <xf numFmtId="0" fontId="1" fillId="10" borderId="1" xfId="0" applyFont="1" applyFill="1" applyBorder="1" applyAlignment="1">
      <alignment horizontal="center" wrapText="1"/>
    </xf>
    <xf numFmtId="0" fontId="0" fillId="10" borderId="1" xfId="0" applyFill="1" applyBorder="1" applyAlignment="1">
      <alignment horizontal="center" wrapText="1"/>
    </xf>
    <xf numFmtId="2" fontId="1" fillId="0" borderId="1" xfId="0" applyNumberFormat="1" applyFont="1" applyBorder="1" applyAlignment="1">
      <alignment horizontal="center" vertical="center" wrapText="1"/>
    </xf>
    <xf numFmtId="2" fontId="0" fillId="0" borderId="1" xfId="0" applyNumberForma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4" fillId="6" borderId="1" xfId="0" applyFont="1" applyFill="1" applyBorder="1" applyAlignment="1">
      <alignment horizontal="center" vertical="center" wrapText="1"/>
    </xf>
    <xf numFmtId="0" fontId="8" fillId="15"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12" borderId="1" xfId="0" applyFill="1" applyBorder="1" applyAlignment="1">
      <alignment horizontal="center" vertical="center"/>
    </xf>
    <xf numFmtId="0" fontId="0" fillId="0" borderId="0" xfId="0" applyAlignment="1">
      <alignment horizontal="right" vertical="center" wrapText="1"/>
    </xf>
    <xf numFmtId="0" fontId="1" fillId="18" borderId="1" xfId="0" applyFont="1" applyFill="1" applyBorder="1" applyAlignment="1">
      <alignment horizontal="center" vertical="center"/>
    </xf>
    <xf numFmtId="0" fontId="1" fillId="17" borderId="1" xfId="0" applyFont="1" applyFill="1" applyBorder="1" applyAlignment="1">
      <alignment horizontal="center" vertical="center" wrapText="1"/>
    </xf>
    <xf numFmtId="0" fontId="1" fillId="17" borderId="1" xfId="0" applyFont="1" applyFill="1" applyBorder="1" applyAlignment="1">
      <alignment horizontal="right" vertical="center" wrapText="1"/>
    </xf>
    <xf numFmtId="0" fontId="0" fillId="0" borderId="1" xfId="0" applyBorder="1" applyAlignment="1">
      <alignment horizontal="right" vertical="center" wrapText="1"/>
    </xf>
    <xf numFmtId="0" fontId="10" fillId="13" borderId="1" xfId="0" applyFont="1" applyFill="1" applyBorder="1" applyAlignment="1">
      <alignment horizontal="center" vertical="center" wrapText="1"/>
    </xf>
    <xf numFmtId="0" fontId="0" fillId="0" borderId="1" xfId="0" applyBorder="1"/>
    <xf numFmtId="0" fontId="1" fillId="0" borderId="0" xfId="0" applyFont="1" applyAlignment="1">
      <alignment wrapText="1"/>
    </xf>
    <xf numFmtId="0" fontId="1" fillId="0" borderId="0" xfId="0" applyFont="1"/>
    <xf numFmtId="0" fontId="1" fillId="19" borderId="1" xfId="0" applyFont="1" applyFill="1" applyBorder="1"/>
    <xf numFmtId="0" fontId="0" fillId="4" borderId="0" xfId="0" applyFill="1"/>
    <xf numFmtId="0" fontId="1" fillId="14" borderId="1" xfId="0" applyFont="1" applyFill="1" applyBorder="1"/>
    <xf numFmtId="0" fontId="1" fillId="0" borderId="0" xfId="0" applyFont="1" applyAlignment="1">
      <alignment horizontal="right" wrapText="1"/>
    </xf>
    <xf numFmtId="0" fontId="0" fillId="18" borderId="1" xfId="0" applyFill="1" applyBorder="1"/>
    <xf numFmtId="0" fontId="4" fillId="3" borderId="1" xfId="0" applyFont="1" applyFill="1" applyBorder="1" applyAlignment="1">
      <alignment horizontal="center" vertical="center" wrapText="1"/>
    </xf>
    <xf numFmtId="0" fontId="1" fillId="4" borderId="1" xfId="0" applyFont="1" applyFill="1" applyBorder="1" applyAlignment="1">
      <alignment vertical="center"/>
    </xf>
    <xf numFmtId="0" fontId="1" fillId="4" borderId="1" xfId="0" applyFont="1" applyFill="1" applyBorder="1"/>
    <xf numFmtId="0" fontId="11" fillId="0" borderId="1" xfId="0" applyFont="1" applyBorder="1"/>
    <xf numFmtId="0" fontId="0" fillId="0" borderId="5" xfId="0" applyBorder="1"/>
    <xf numFmtId="0" fontId="14" fillId="26" borderId="0" xfId="0" applyFont="1" applyFill="1" applyAlignment="1">
      <alignment vertical="top" wrapText="1"/>
    </xf>
    <xf numFmtId="164" fontId="14" fillId="27" borderId="0" xfId="0" applyNumberFormat="1" applyFont="1" applyFill="1" applyAlignment="1">
      <alignment vertical="top" wrapText="1"/>
    </xf>
    <xf numFmtId="9" fontId="14" fillId="27" borderId="0" xfId="0" applyNumberFormat="1" applyFont="1" applyFill="1" applyAlignment="1">
      <alignment vertical="top" wrapText="1"/>
    </xf>
    <xf numFmtId="49" fontId="14" fillId="27" borderId="0" xfId="0" applyNumberFormat="1" applyFont="1" applyFill="1" applyAlignment="1">
      <alignment vertical="top" wrapText="1"/>
    </xf>
    <xf numFmtId="1" fontId="14" fillId="27" borderId="0" xfId="0" applyNumberFormat="1" applyFont="1" applyFill="1" applyAlignment="1">
      <alignment vertical="top" wrapText="1"/>
    </xf>
    <xf numFmtId="0" fontId="14" fillId="28" borderId="0" xfId="0" applyFont="1" applyFill="1" applyAlignment="1">
      <alignment vertical="top" wrapText="1"/>
    </xf>
    <xf numFmtId="0" fontId="15" fillId="28" borderId="0" xfId="0" applyFont="1" applyFill="1" applyAlignment="1">
      <alignment vertical="top" wrapText="1"/>
    </xf>
    <xf numFmtId="0" fontId="18" fillId="27" borderId="0" xfId="0" applyFont="1" applyFill="1"/>
    <xf numFmtId="0" fontId="0" fillId="27" borderId="0" xfId="0" applyFill="1"/>
    <xf numFmtId="0" fontId="4" fillId="27" borderId="0" xfId="0" applyFont="1" applyFill="1"/>
    <xf numFmtId="0" fontId="19" fillId="26" borderId="0" xfId="0" applyFont="1" applyFill="1" applyAlignment="1">
      <alignment horizontal="center" vertical="top" wrapText="1"/>
    </xf>
    <xf numFmtId="1" fontId="19" fillId="26" borderId="0" xfId="0" applyNumberFormat="1" applyFont="1" applyFill="1" applyAlignment="1">
      <alignment horizontal="center" vertical="top" wrapText="1"/>
    </xf>
    <xf numFmtId="1" fontId="20" fillId="28" borderId="0" xfId="0" applyNumberFormat="1" applyFont="1" applyFill="1" applyAlignment="1">
      <alignment horizontal="center" vertical="top" wrapText="1"/>
    </xf>
    <xf numFmtId="2" fontId="20" fillId="28" borderId="0" xfId="0" applyNumberFormat="1" applyFont="1" applyFill="1" applyAlignment="1">
      <alignment horizontal="center" vertical="top" wrapText="1"/>
    </xf>
    <xf numFmtId="9" fontId="20" fillId="28" borderId="0" xfId="0" applyNumberFormat="1" applyFont="1" applyFill="1" applyAlignment="1">
      <alignment horizontal="center" vertical="top" wrapText="1"/>
    </xf>
    <xf numFmtId="0" fontId="17" fillId="0" borderId="0" xfId="0" applyFont="1" applyAlignment="1">
      <alignment horizontal="center" vertical="center" wrapText="1"/>
    </xf>
    <xf numFmtId="0" fontId="19" fillId="31" borderId="1" xfId="0" applyFont="1" applyFill="1" applyBorder="1" applyAlignment="1">
      <alignment horizontal="center" vertical="top" wrapText="1"/>
    </xf>
    <xf numFmtId="1" fontId="19" fillId="31" borderId="1" xfId="0" applyNumberFormat="1" applyFont="1" applyFill="1" applyBorder="1" applyAlignment="1">
      <alignment horizontal="center" vertical="top" wrapText="1"/>
    </xf>
    <xf numFmtId="1" fontId="20" fillId="32" borderId="1" xfId="0" applyNumberFormat="1" applyFont="1" applyFill="1" applyBorder="1" applyAlignment="1">
      <alignment horizontal="center" vertical="top" wrapText="1"/>
    </xf>
    <xf numFmtId="2" fontId="20" fillId="32" borderId="1" xfId="0" applyNumberFormat="1" applyFont="1" applyFill="1" applyBorder="1" applyAlignment="1">
      <alignment horizontal="center" vertical="top" wrapText="1"/>
    </xf>
    <xf numFmtId="9" fontId="20" fillId="32" borderId="1" xfId="0" applyNumberFormat="1" applyFont="1" applyFill="1" applyBorder="1" applyAlignment="1">
      <alignment horizontal="center" vertical="top" wrapText="1"/>
    </xf>
    <xf numFmtId="0" fontId="19" fillId="33" borderId="1" xfId="0" applyFont="1" applyFill="1" applyBorder="1" applyAlignment="1">
      <alignment horizontal="center" vertical="top" wrapText="1"/>
    </xf>
    <xf numFmtId="164" fontId="19" fillId="34" borderId="1" xfId="0" applyNumberFormat="1" applyFont="1" applyFill="1" applyBorder="1" applyAlignment="1">
      <alignment horizontal="center" vertical="top" wrapText="1"/>
    </xf>
    <xf numFmtId="9" fontId="19" fillId="34" borderId="1" xfId="0" applyNumberFormat="1" applyFont="1" applyFill="1" applyBorder="1" applyAlignment="1">
      <alignment horizontal="center" vertical="top" wrapText="1"/>
    </xf>
    <xf numFmtId="1" fontId="19" fillId="34" borderId="1" xfId="0" applyNumberFormat="1" applyFont="1" applyFill="1" applyBorder="1" applyAlignment="1">
      <alignment horizontal="center" vertical="top" wrapText="1"/>
    </xf>
    <xf numFmtId="0" fontId="0" fillId="5" borderId="0" xfId="0" applyFill="1"/>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0" fillId="0" borderId="0" xfId="0" applyAlignment="1">
      <alignment horizontal="center" vertical="center" wrapText="1"/>
    </xf>
    <xf numFmtId="0" fontId="0" fillId="4" borderId="1" xfId="0" applyFill="1" applyBorder="1" applyAlignment="1">
      <alignment horizontal="center" vertical="center" wrapText="1"/>
    </xf>
    <xf numFmtId="0" fontId="2" fillId="0" borderId="1" xfId="0" applyFont="1" applyBorder="1" applyAlignment="1">
      <alignment horizontal="center" vertical="center" wrapText="1"/>
    </xf>
    <xf numFmtId="0" fontId="0" fillId="5" borderId="1" xfId="0" applyFill="1" applyBorder="1" applyAlignment="1">
      <alignment horizontal="center" vertical="center" wrapText="1"/>
    </xf>
    <xf numFmtId="0" fontId="0" fillId="4" borderId="0" xfId="0" applyFill="1" applyAlignment="1">
      <alignment horizontal="center"/>
    </xf>
    <xf numFmtId="0" fontId="0" fillId="4" borderId="0" xfId="0" applyFill="1" applyAlignment="1">
      <alignment horizontal="center" vertical="center"/>
    </xf>
    <xf numFmtId="0" fontId="21" fillId="34" borderId="1" xfId="0" applyFont="1" applyFill="1" applyBorder="1" applyAlignment="1">
      <alignment horizontal="center" vertical="top" wrapText="1"/>
    </xf>
    <xf numFmtId="0" fontId="0" fillId="22" borderId="1" xfId="0" applyFill="1" applyBorder="1" applyAlignment="1">
      <alignment horizontal="center" vertical="center" wrapText="1"/>
    </xf>
    <xf numFmtId="0" fontId="21" fillId="24" borderId="13" xfId="0" applyFont="1" applyFill="1" applyBorder="1" applyAlignment="1">
      <alignment vertical="top" wrapText="1"/>
    </xf>
    <xf numFmtId="9" fontId="24" fillId="25" borderId="13" xfId="0" applyNumberFormat="1" applyFont="1" applyFill="1" applyBorder="1" applyAlignment="1">
      <alignment vertical="top" wrapText="1"/>
    </xf>
    <xf numFmtId="0" fontId="25" fillId="23"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21" fillId="0" borderId="1" xfId="0" applyFont="1" applyBorder="1" applyAlignment="1">
      <alignment horizontal="center" vertical="center" wrapText="1"/>
    </xf>
    <xf numFmtId="1" fontId="20" fillId="0" borderId="1" xfId="0" applyNumberFormat="1" applyFont="1" applyBorder="1" applyAlignment="1">
      <alignment horizontal="center" vertical="center" wrapText="1"/>
    </xf>
    <xf numFmtId="165" fontId="19" fillId="0" borderId="1" xfId="0" applyNumberFormat="1" applyFont="1" applyBorder="1" applyAlignment="1">
      <alignment horizontal="center" vertical="center" wrapText="1"/>
    </xf>
    <xf numFmtId="0" fontId="21" fillId="21" borderId="1" xfId="0" applyFont="1" applyFill="1" applyBorder="1" applyAlignment="1">
      <alignment horizontal="center" vertical="center" wrapText="1"/>
    </xf>
    <xf numFmtId="1" fontId="21" fillId="21" borderId="1" xfId="0" applyNumberFormat="1" applyFont="1" applyFill="1" applyBorder="1" applyAlignment="1">
      <alignment horizontal="center" vertical="center" wrapText="1"/>
    </xf>
    <xf numFmtId="165" fontId="21" fillId="21" borderId="1" xfId="0" applyNumberFormat="1" applyFont="1" applyFill="1" applyBorder="1" applyAlignment="1">
      <alignment horizontal="center" vertical="center" wrapText="1"/>
    </xf>
    <xf numFmtId="9" fontId="21" fillId="21" borderId="1" xfId="0" applyNumberFormat="1" applyFont="1" applyFill="1" applyBorder="1" applyAlignment="1">
      <alignment horizontal="center" vertical="center" wrapText="1"/>
    </xf>
    <xf numFmtId="49" fontId="21" fillId="21" borderId="1" xfId="0" applyNumberFormat="1" applyFont="1" applyFill="1" applyBorder="1" applyAlignment="1">
      <alignment horizontal="center" vertical="center" wrapText="1"/>
    </xf>
    <xf numFmtId="0" fontId="19" fillId="21" borderId="1" xfId="0" applyFont="1" applyFill="1" applyBorder="1" applyAlignment="1">
      <alignment horizontal="center" vertical="center" wrapText="1"/>
    </xf>
    <xf numFmtId="0" fontId="0" fillId="0" borderId="1" xfId="0" applyBorder="1" applyAlignment="1">
      <alignment horizontal="center"/>
    </xf>
    <xf numFmtId="0" fontId="24" fillId="0" borderId="1" xfId="0" applyFont="1" applyBorder="1" applyAlignment="1">
      <alignment horizontal="center" vertical="center"/>
    </xf>
    <xf numFmtId="2" fontId="0" fillId="0" borderId="1" xfId="0" applyNumberFormat="1" applyBorder="1" applyAlignment="1">
      <alignment horizontal="center"/>
    </xf>
    <xf numFmtId="0" fontId="25" fillId="30" borderId="1" xfId="0" applyFont="1" applyFill="1" applyBorder="1" applyAlignment="1">
      <alignment horizontal="center" vertical="center" wrapText="1"/>
    </xf>
    <xf numFmtId="0" fontId="26" fillId="0" borderId="1" xfId="0" applyFont="1" applyBorder="1" applyAlignment="1">
      <alignment horizontal="center" vertical="center" wrapText="1"/>
    </xf>
    <xf numFmtId="2" fontId="26" fillId="0" borderId="1" xfId="0" applyNumberFormat="1" applyFont="1" applyBorder="1" applyAlignment="1">
      <alignment horizontal="center" vertical="center" wrapText="1"/>
    </xf>
    <xf numFmtId="2" fontId="19" fillId="0" borderId="1" xfId="0" applyNumberFormat="1" applyFont="1" applyBorder="1" applyAlignment="1">
      <alignment horizontal="center" vertical="center" wrapText="1"/>
    </xf>
    <xf numFmtId="1" fontId="19"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0" fontId="22" fillId="20" borderId="1" xfId="0" applyFont="1" applyFill="1" applyBorder="1" applyAlignment="1">
      <alignment horizontal="center" vertical="center" wrapText="1"/>
    </xf>
    <xf numFmtId="0" fontId="21" fillId="29" borderId="1" xfId="0" applyFont="1" applyFill="1" applyBorder="1" applyAlignment="1">
      <alignment horizontal="center" vertical="top" wrapText="1"/>
    </xf>
    <xf numFmtId="0" fontId="5" fillId="5" borderId="1" xfId="0" applyFont="1" applyFill="1" applyBorder="1" applyAlignment="1">
      <alignment horizontal="center"/>
    </xf>
    <xf numFmtId="0" fontId="5" fillId="6" borderId="1" xfId="0" applyFont="1" applyFill="1" applyBorder="1" applyAlignment="1">
      <alignment horizontal="center"/>
    </xf>
    <xf numFmtId="0" fontId="1" fillId="19" borderId="1" xfId="0" applyFont="1" applyFill="1" applyBorder="1" applyAlignment="1">
      <alignment horizontal="center" vertical="center"/>
    </xf>
    <xf numFmtId="0" fontId="0" fillId="0" borderId="6" xfId="0" applyBorder="1"/>
    <xf numFmtId="0" fontId="0" fillId="0" borderId="9" xfId="0" applyBorder="1"/>
    <xf numFmtId="0" fontId="0" fillId="0" borderId="8" xfId="0" applyBorder="1"/>
    <xf numFmtId="0" fontId="0" fillId="0" borderId="0" xfId="0"/>
    <xf numFmtId="0" fontId="0" fillId="0" borderId="10" xfId="0" applyBorder="1"/>
    <xf numFmtId="0" fontId="0" fillId="0" borderId="2" xfId="0" applyBorder="1"/>
    <xf numFmtId="0" fontId="0" fillId="0" borderId="3" xfId="0" applyBorder="1"/>
    <xf numFmtId="0" fontId="0" fillId="0" borderId="11" xfId="0" applyBorder="1"/>
    <xf numFmtId="0" fontId="16" fillId="0" borderId="1" xfId="0" applyFont="1" applyBorder="1" applyAlignment="1">
      <alignment horizontal="left" vertical="center" wrapText="1"/>
    </xf>
    <xf numFmtId="0" fontId="0" fillId="0" borderId="5" xfId="0" applyBorder="1"/>
    <xf numFmtId="0" fontId="0" fillId="0" borderId="7" xfId="0" applyBorder="1"/>
    <xf numFmtId="0" fontId="11" fillId="0" borderId="1" xfId="0" applyFont="1" applyBorder="1" applyAlignment="1">
      <alignment horizontal="center" vertical="center" wrapText="1"/>
    </xf>
    <xf numFmtId="0" fontId="0" fillId="0" borderId="1" xfId="0" applyBorder="1" applyAlignment="1">
      <alignment horizontal="center" vertical="center" wrapText="1"/>
    </xf>
    <xf numFmtId="0" fontId="1" fillId="19" borderId="1"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1" fillId="14" borderId="1" xfId="0" applyFont="1" applyFill="1" applyBorder="1" applyAlignment="1">
      <alignment horizontal="center" vertical="center"/>
    </xf>
    <xf numFmtId="0" fontId="0" fillId="0" borderId="1" xfId="0" applyBorder="1" applyAlignment="1">
      <alignment horizontal="left" wrapText="1"/>
    </xf>
    <xf numFmtId="0" fontId="4" fillId="14" borderId="1" xfId="0" applyFont="1" applyFill="1" applyBorder="1" applyAlignment="1">
      <alignment horizontal="center"/>
    </xf>
    <xf numFmtId="0" fontId="0" fillId="0" borderId="5" xfId="0" applyBorder="1" applyAlignment="1">
      <alignment wrapText="1"/>
    </xf>
    <xf numFmtId="0" fontId="0" fillId="0" borderId="7" xfId="0" applyBorder="1" applyAlignment="1">
      <alignment wrapText="1"/>
    </xf>
    <xf numFmtId="0" fontId="4" fillId="13" borderId="1" xfId="0" applyFont="1" applyFill="1" applyBorder="1" applyAlignment="1">
      <alignment horizontal="center"/>
    </xf>
    <xf numFmtId="0" fontId="12" fillId="13" borderId="1" xfId="0" applyFont="1" applyFill="1" applyBorder="1" applyAlignment="1">
      <alignment horizontal="center" vertical="center"/>
    </xf>
    <xf numFmtId="0" fontId="0" fillId="10" borderId="0" xfId="0" applyFill="1" applyAlignment="1">
      <alignment horizontal="center"/>
    </xf>
    <xf numFmtId="0" fontId="4" fillId="3" borderId="1" xfId="0" applyFont="1" applyFill="1" applyBorder="1" applyAlignment="1">
      <alignment horizontal="center" vertical="center" wrapText="1"/>
    </xf>
    <xf numFmtId="0" fontId="1" fillId="10" borderId="0" xfId="0" applyFont="1" applyFill="1" applyAlignment="1">
      <alignment horizontal="center"/>
    </xf>
    <xf numFmtId="0" fontId="0" fillId="0" borderId="1" xfId="0" applyBorder="1" applyAlignment="1">
      <alignment horizontal="left"/>
    </xf>
    <xf numFmtId="0" fontId="12" fillId="10" borderId="1" xfId="0" applyFont="1" applyFill="1" applyBorder="1" applyAlignment="1">
      <alignment horizontal="center" vertical="center"/>
    </xf>
    <xf numFmtId="0" fontId="1" fillId="0" borderId="1" xfId="0" applyFont="1" applyBorder="1" applyAlignment="1">
      <alignment horizontal="left"/>
    </xf>
    <xf numFmtId="0" fontId="13" fillId="7" borderId="1" xfId="0" applyFont="1" applyFill="1" applyBorder="1" applyAlignment="1">
      <alignment horizontal="center" vertical="center" wrapText="1"/>
    </xf>
    <xf numFmtId="0" fontId="0" fillId="0" borderId="12" xfId="0" applyBorder="1"/>
    <xf numFmtId="0" fontId="1" fillId="22" borderId="0" xfId="0" applyFont="1" applyFill="1" applyAlignment="1">
      <alignment horizontal="left" vertical="center" wrapText="1"/>
    </xf>
    <xf numFmtId="0" fontId="0" fillId="22" borderId="0" xfId="0" applyFill="1"/>
    <xf numFmtId="0" fontId="1" fillId="20" borderId="5" xfId="0" applyFont="1" applyFill="1" applyBorder="1" applyAlignment="1">
      <alignment horizontal="center" vertical="center"/>
    </xf>
    <xf numFmtId="0" fontId="4" fillId="2" borderId="1" xfId="0" applyFont="1" applyFill="1" applyBorder="1" applyAlignment="1">
      <alignment horizontal="center"/>
    </xf>
    <xf numFmtId="0" fontId="9" fillId="15" borderId="1" xfId="0" applyFont="1" applyFill="1" applyBorder="1" applyAlignment="1">
      <alignment horizontal="center"/>
    </xf>
    <xf numFmtId="0" fontId="0" fillId="0" borderId="1" xfId="0" applyBorder="1" applyAlignment="1">
      <alignment horizontal="left" vertical="center" wrapText="1"/>
    </xf>
    <xf numFmtId="0" fontId="0" fillId="18" borderId="1" xfId="0" applyFill="1" applyBorder="1" applyAlignment="1">
      <alignment horizontal="left"/>
    </xf>
    <xf numFmtId="0" fontId="1" fillId="22" borderId="8" xfId="0" applyFont="1" applyFill="1" applyBorder="1" applyAlignment="1">
      <alignment horizontal="center"/>
    </xf>
    <xf numFmtId="0" fontId="6" fillId="5" borderId="0" xfId="0" applyFont="1" applyFill="1" applyAlignment="1">
      <alignment horizontal="center" vertical="center"/>
    </xf>
    <xf numFmtId="0" fontId="0" fillId="0" borderId="0" xfId="0" applyAlignment="1">
      <alignment horizontal="center"/>
    </xf>
    <xf numFmtId="0" fontId="9" fillId="13" borderId="0" xfId="0" applyFont="1" applyFill="1" applyAlignment="1">
      <alignment horizontal="center"/>
    </xf>
    <xf numFmtId="0" fontId="8" fillId="6" borderId="0" xfId="0" applyFont="1" applyFill="1" applyAlignment="1">
      <alignment horizontal="center"/>
    </xf>
    <xf numFmtId="0" fontId="6" fillId="13" borderId="1" xfId="0" applyFont="1" applyFill="1" applyBorder="1" applyAlignment="1">
      <alignment horizontal="center"/>
    </xf>
    <xf numFmtId="0" fontId="1" fillId="5" borderId="1" xfId="0" applyFont="1" applyFill="1" applyBorder="1" applyAlignment="1">
      <alignment horizontal="center"/>
    </xf>
    <xf numFmtId="0" fontId="0" fillId="11" borderId="6" xfId="0" applyFill="1" applyBorder="1" applyAlignment="1">
      <alignment horizontal="center"/>
    </xf>
    <xf numFmtId="0" fontId="0" fillId="11" borderId="0" xfId="0" applyFill="1" applyAlignment="1">
      <alignment horizontal="center" wrapText="1"/>
    </xf>
    <xf numFmtId="0" fontId="5" fillId="2" borderId="4" xfId="0" applyFont="1" applyFill="1" applyBorder="1" applyAlignment="1">
      <alignment horizontal="center" wrapText="1"/>
    </xf>
    <xf numFmtId="0" fontId="0" fillId="2" borderId="5" xfId="0" applyFill="1" applyBorder="1"/>
    <xf numFmtId="0" fontId="6" fillId="17" borderId="2" xfId="0" applyFont="1" applyFill="1" applyBorder="1" applyAlignment="1">
      <alignment horizontal="center"/>
    </xf>
    <xf numFmtId="0" fontId="0" fillId="17" borderId="3" xfId="0" applyFill="1" applyBorder="1"/>
    <xf numFmtId="0" fontId="4" fillId="5" borderId="1" xfId="0" applyFont="1" applyFill="1" applyBorder="1" applyAlignment="1">
      <alignment horizontal="center" vertical="center"/>
    </xf>
    <xf numFmtId="0" fontId="8" fillId="13" borderId="1" xfId="0" applyFont="1" applyFill="1" applyBorder="1" applyAlignment="1">
      <alignment horizontal="center"/>
    </xf>
    <xf numFmtId="0" fontId="9" fillId="5" borderId="1" xfId="0" applyFont="1" applyFill="1" applyBorder="1" applyAlignment="1">
      <alignment horizontal="center"/>
    </xf>
    <xf numFmtId="0" fontId="1" fillId="11" borderId="1" xfId="0" applyFont="1" applyFill="1" applyBorder="1" applyAlignment="1">
      <alignment horizontal="center" vertical="center"/>
    </xf>
    <xf numFmtId="0" fontId="4" fillId="13" borderId="1" xfId="0" applyFont="1" applyFill="1" applyBorder="1" applyAlignment="1">
      <alignment horizontal="center" vertical="center"/>
    </xf>
    <xf numFmtId="0" fontId="1" fillId="17" borderId="3" xfId="0" applyFont="1" applyFill="1" applyBorder="1" applyAlignment="1">
      <alignment horizontal="center"/>
    </xf>
    <xf numFmtId="0" fontId="9" fillId="5" borderId="1" xfId="0" applyFont="1" applyFill="1" applyBorder="1" applyAlignment="1">
      <alignment horizontal="center" vertical="center"/>
    </xf>
    <xf numFmtId="0" fontId="4" fillId="19" borderId="1" xfId="0" applyFont="1" applyFill="1" applyBorder="1" applyAlignment="1">
      <alignment horizontal="center"/>
    </xf>
    <xf numFmtId="0" fontId="23" fillId="13" borderId="1" xfId="0" applyFont="1" applyFill="1" applyBorder="1" applyAlignment="1">
      <alignment horizontal="center"/>
    </xf>
    <xf numFmtId="0" fontId="22" fillId="22" borderId="4" xfId="0" applyFont="1" applyFill="1" applyBorder="1" applyAlignment="1">
      <alignment horizontal="center"/>
    </xf>
    <xf numFmtId="0" fontId="22" fillId="22" borderId="5" xfId="0" applyFont="1" applyFill="1" applyBorder="1" applyAlignment="1">
      <alignment horizontal="center"/>
    </xf>
    <xf numFmtId="0" fontId="22" fillId="22" borderId="7" xfId="0" applyFont="1" applyFill="1" applyBorder="1" applyAlignment="1">
      <alignment horizontal="center"/>
    </xf>
  </cellXfs>
  <cellStyles count="1">
    <cellStyle name="Normal" xfId="0" builtinId="0"/>
  </cellStyles>
  <dxfs count="4">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604311656910035E-2"/>
          <c:y val="2.0967341387698825E-2"/>
          <c:w val="0.90502565992398387"/>
          <c:h val="0.90774615497829125"/>
        </c:manualLayout>
      </c:layout>
      <c:scatterChart>
        <c:scatterStyle val="lineMarker"/>
        <c:varyColors val="0"/>
        <c:ser>
          <c:idx val="0"/>
          <c:order val="0"/>
          <c:tx>
            <c:strRef>
              <c:f>'DMA Matrix'!$A$34:$G$34</c:f>
              <c:strCache>
                <c:ptCount val="1"/>
                <c:pt idx="0">
                  <c:v>G10 Governance Creating Economic Value 3.12 High 3.40 High</c:v>
                </c:pt>
              </c:strCache>
            </c:strRef>
          </c:tx>
          <c:spPr>
            <a:ln w="25400" cap="rnd">
              <a:noFill/>
              <a:round/>
            </a:ln>
            <a:effectLst/>
          </c:spPr>
          <c:marker>
            <c:symbol val="diamond"/>
            <c:size val="6"/>
            <c:spPr>
              <a:solidFill>
                <a:schemeClr val="accent1"/>
              </a:solidFill>
              <a:ln w="9525">
                <a:solidFill>
                  <a:schemeClr val="accent1"/>
                </a:solidFill>
                <a:round/>
              </a:ln>
              <a:effectLst/>
            </c:spPr>
          </c:marker>
          <c:dLbls>
            <c:dLbl>
              <c:idx val="0"/>
              <c:tx>
                <c:rich>
                  <a:bodyPr/>
                  <a:lstStyle/>
                  <a:p>
                    <a:fld id="{222F53DF-8585-4711-B32E-5245C2177E5F}" type="CELLRANGE">
                      <a:rPr lang="en-US"/>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F24-4DD4-8C23-C096AA7DC918}"/>
                </c:ext>
              </c:extLst>
            </c:dLbl>
            <c:dLbl>
              <c:idx val="1"/>
              <c:tx>
                <c:rich>
                  <a:bodyPr/>
                  <a:lstStyle/>
                  <a:p>
                    <a:fld id="{53A6A8AD-431F-43B9-A85C-D330DE89A95A}"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F24-4DD4-8C23-C096AA7DC918}"/>
                </c:ext>
              </c:extLst>
            </c:dLbl>
            <c:dLbl>
              <c:idx val="2"/>
              <c:tx>
                <c:rich>
                  <a:bodyPr/>
                  <a:lstStyle/>
                  <a:p>
                    <a:fld id="{E6797CE9-5B59-436F-94E2-FCB57D60A9A1}"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F24-4DD4-8C23-C096AA7DC918}"/>
                </c:ext>
              </c:extLst>
            </c:dLbl>
            <c:dLbl>
              <c:idx val="3"/>
              <c:tx>
                <c:rich>
                  <a:bodyPr/>
                  <a:lstStyle/>
                  <a:p>
                    <a:fld id="{E0D41586-D822-4305-A9E5-DCE56006BCAD}"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F24-4DD4-8C23-C096AA7DC918}"/>
                </c:ext>
              </c:extLst>
            </c:dLbl>
            <c:dLbl>
              <c:idx val="4"/>
              <c:tx>
                <c:rich>
                  <a:bodyPr/>
                  <a:lstStyle/>
                  <a:p>
                    <a:fld id="{1F3C20DA-2246-4DC5-BC0D-AB1E5D82A394}"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F24-4DD4-8C23-C096AA7DC918}"/>
                </c:ext>
              </c:extLst>
            </c:dLbl>
            <c:dLbl>
              <c:idx val="5"/>
              <c:tx>
                <c:rich>
                  <a:bodyPr/>
                  <a:lstStyle/>
                  <a:p>
                    <a:fld id="{7B8F4A39-16A4-4B20-B9C7-D38575FC07A6}"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F24-4DD4-8C23-C096AA7DC918}"/>
                </c:ext>
              </c:extLst>
            </c:dLbl>
            <c:dLbl>
              <c:idx val="6"/>
              <c:tx>
                <c:rich>
                  <a:bodyPr/>
                  <a:lstStyle/>
                  <a:p>
                    <a:fld id="{BC4A4705-F928-4CF4-BD3E-1DBB1B20D8B8}"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F24-4DD4-8C23-C096AA7DC918}"/>
                </c:ext>
              </c:extLst>
            </c:dLbl>
            <c:dLbl>
              <c:idx val="7"/>
              <c:tx>
                <c:rich>
                  <a:bodyPr/>
                  <a:lstStyle/>
                  <a:p>
                    <a:fld id="{1A97BA1E-83FC-4E5D-B908-4F0963EDC6E8}"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F24-4DD4-8C23-C096AA7DC918}"/>
                </c:ext>
              </c:extLst>
            </c:dLbl>
            <c:dLbl>
              <c:idx val="8"/>
              <c:tx>
                <c:rich>
                  <a:bodyPr/>
                  <a:lstStyle/>
                  <a:p>
                    <a:fld id="{0BAB8B3C-CBBA-4720-A565-A2EC065BD97F}"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F24-4DD4-8C23-C096AA7DC918}"/>
                </c:ext>
              </c:extLst>
            </c:dLbl>
            <c:dLbl>
              <c:idx val="9"/>
              <c:layout>
                <c:manualLayout>
                  <c:x val="-1.5383101477167285E-2"/>
                  <c:y val="2.0100502512562769E-2"/>
                </c:manualLayout>
              </c:layout>
              <c:tx>
                <c:rich>
                  <a:bodyPr/>
                  <a:lstStyle/>
                  <a:p>
                    <a:fld id="{CE184691-040F-49A4-A649-489CFE05F68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F24-4DD4-8C23-C096AA7DC918}"/>
                </c:ext>
              </c:extLst>
            </c:dLbl>
            <c:dLbl>
              <c:idx val="10"/>
              <c:tx>
                <c:rich>
                  <a:bodyPr/>
                  <a:lstStyle/>
                  <a:p>
                    <a:fld id="{39ED4DC1-F4EC-4A87-B2B2-A5AAD5D83AEE}"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F24-4DD4-8C23-C096AA7DC918}"/>
                </c:ext>
              </c:extLst>
            </c:dLbl>
            <c:dLbl>
              <c:idx val="11"/>
              <c:layout>
                <c:manualLayout>
                  <c:x val="-5.6997675349089151E-2"/>
                  <c:y val="-3.0150753768844268E-2"/>
                </c:manualLayout>
              </c:layout>
              <c:tx>
                <c:rich>
                  <a:bodyPr/>
                  <a:lstStyle/>
                  <a:p>
                    <a:fld id="{2904B721-09FB-49AE-A40C-41269B50397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F24-4DD4-8C23-C096AA7DC918}"/>
                </c:ext>
              </c:extLst>
            </c:dLbl>
            <c:dLbl>
              <c:idx val="12"/>
              <c:layout>
                <c:manualLayout>
                  <c:x val="-4.6574803460392791E-2"/>
                  <c:y val="-7.5376785502314719E-2"/>
                </c:manualLayout>
              </c:layout>
              <c:tx>
                <c:rich>
                  <a:bodyPr/>
                  <a:lstStyle/>
                  <a:p>
                    <a:fld id="{FA0CDABA-FC6D-49AA-8736-61BB036894E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AF24-4DD4-8C23-C096AA7DC918}"/>
                </c:ext>
              </c:extLst>
            </c:dLbl>
            <c:dLbl>
              <c:idx val="13"/>
              <c:tx>
                <c:rich>
                  <a:bodyPr/>
                  <a:lstStyle/>
                  <a:p>
                    <a:fld id="{7770C14F-B671-4673-98C2-79C5EEAB60B8}"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F24-4DD4-8C23-C096AA7DC918}"/>
                </c:ext>
              </c:extLst>
            </c:dLbl>
            <c:dLbl>
              <c:idx val="14"/>
              <c:tx>
                <c:rich>
                  <a:bodyPr/>
                  <a:lstStyle/>
                  <a:p>
                    <a:fld id="{457DDE7B-E35C-4547-88E6-70D60F505EEE}"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F24-4DD4-8C23-C096AA7DC918}"/>
                </c:ext>
              </c:extLst>
            </c:dLbl>
            <c:dLbl>
              <c:idx val="15"/>
              <c:tx>
                <c:rich>
                  <a:bodyPr/>
                  <a:lstStyle/>
                  <a:p>
                    <a:fld id="{C7918267-8818-492B-83F8-18A846DCD4A1}"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F24-4DD4-8C23-C096AA7DC918}"/>
                </c:ext>
              </c:extLst>
            </c:dLbl>
            <c:dLbl>
              <c:idx val="16"/>
              <c:tx>
                <c:rich>
                  <a:bodyPr/>
                  <a:lstStyle/>
                  <a:p>
                    <a:fld id="{E7910676-7CAD-4278-94E7-5C6031C61772}"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AF24-4DD4-8C23-C096AA7DC918}"/>
                </c:ext>
              </c:extLst>
            </c:dLbl>
            <c:dLbl>
              <c:idx val="17"/>
              <c:tx>
                <c:rich>
                  <a:bodyPr/>
                  <a:lstStyle/>
                  <a:p>
                    <a:fld id="{C18FFABA-8D4A-4882-A11D-C9B1847488BF}"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AF24-4DD4-8C23-C096AA7DC918}"/>
                </c:ext>
              </c:extLst>
            </c:dLbl>
            <c:dLbl>
              <c:idx val="18"/>
              <c:layout>
                <c:manualLayout>
                  <c:x val="-5.2147491914133169E-2"/>
                  <c:y val="-2.0100502512562814E-2"/>
                </c:manualLayout>
              </c:layout>
              <c:tx>
                <c:rich>
                  <a:bodyPr/>
                  <a:lstStyle/>
                  <a:p>
                    <a:fld id="{DB5FB6BC-A072-4E46-86D7-50DF4943C4D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AF24-4DD4-8C23-C096AA7DC918}"/>
                </c:ext>
              </c:extLst>
            </c:dLbl>
            <c:dLbl>
              <c:idx val="19"/>
              <c:tx>
                <c:rich>
                  <a:bodyPr/>
                  <a:lstStyle/>
                  <a:p>
                    <a:fld id="{EFFB8F4F-895B-4EE8-9488-6666393A171D}"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AF24-4DD4-8C23-C096AA7DC918}"/>
                </c:ext>
              </c:extLst>
            </c:dLbl>
            <c:dLbl>
              <c:idx val="20"/>
              <c:tx>
                <c:rich>
                  <a:bodyPr/>
                  <a:lstStyle/>
                  <a:p>
                    <a:fld id="{90DD7856-4C43-42FC-8754-A0F2E6D374FB}"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AF24-4DD4-8C23-C096AA7DC918}"/>
                </c:ext>
              </c:extLst>
            </c:dLbl>
            <c:dLbl>
              <c:idx val="21"/>
              <c:layout>
                <c:manualLayout>
                  <c:x val="3.2334556233039476E-4"/>
                  <c:y val="-2.5125628140703518E-3"/>
                </c:manualLayout>
              </c:layout>
              <c:tx>
                <c:rich>
                  <a:bodyPr/>
                  <a:lstStyle/>
                  <a:p>
                    <a:fld id="{599ABAE9-AE72-4F6E-B5AA-4095289E025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AF24-4DD4-8C23-C096AA7DC918}"/>
                </c:ext>
              </c:extLst>
            </c:dLbl>
            <c:dLbl>
              <c:idx val="22"/>
              <c:layout>
                <c:manualLayout>
                  <c:x val="-2.5544299424101302E-2"/>
                  <c:y val="-4.2713567839195977E-2"/>
                </c:manualLayout>
              </c:layout>
              <c:tx>
                <c:rich>
                  <a:bodyPr/>
                  <a:lstStyle/>
                  <a:p>
                    <a:fld id="{8BF49CA5-5ADF-438E-9DD8-253582BF225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AF24-4DD4-8C23-C096AA7DC918}"/>
                </c:ext>
              </c:extLst>
            </c:dLbl>
            <c:dLbl>
              <c:idx val="23"/>
              <c:layout>
                <c:manualLayout>
                  <c:x val="-2.3927571612449093E-2"/>
                  <c:y val="3.0150753768844175E-2"/>
                </c:manualLayout>
              </c:layout>
              <c:tx>
                <c:rich>
                  <a:bodyPr/>
                  <a:lstStyle/>
                  <a:p>
                    <a:fld id="{56A538E8-194D-4CC4-B049-EC10D49A8FD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AF24-4DD4-8C23-C096AA7DC918}"/>
                </c:ext>
              </c:extLst>
            </c:dLbl>
            <c:dLbl>
              <c:idx val="24"/>
              <c:tx>
                <c:rich>
                  <a:bodyPr/>
                  <a:lstStyle/>
                  <a:p>
                    <a:fld id="{135370EC-AB92-4EFA-868B-CA70FFD719D7}"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AF24-4DD4-8C23-C096AA7DC918}"/>
                </c:ext>
              </c:extLst>
            </c:dLbl>
            <c:dLbl>
              <c:idx val="25"/>
              <c:tx>
                <c:rich>
                  <a:bodyPr/>
                  <a:lstStyle/>
                  <a:p>
                    <a:fld id="{21CC493B-ABF1-4E83-A965-8FFEEAAED592}"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AF24-4DD4-8C23-C096AA7DC918}"/>
                </c:ext>
              </c:extLst>
            </c:dLbl>
            <c:dLbl>
              <c:idx val="26"/>
              <c:layout>
                <c:manualLayout>
                  <c:x val="-4.4945033163924987E-2"/>
                  <c:y val="-2.2613065326633212E-2"/>
                </c:manualLayout>
              </c:layout>
              <c:tx>
                <c:rich>
                  <a:bodyPr/>
                  <a:lstStyle/>
                  <a:p>
                    <a:fld id="{3D4AC8C1-78D7-49CB-A7E7-AB720A90A26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AF24-4DD4-8C23-C096AA7DC918}"/>
                </c:ext>
              </c:extLst>
            </c:dLbl>
            <c:dLbl>
              <c:idx val="27"/>
              <c:layout>
                <c:manualLayout>
                  <c:x val="-4.8178488787228815E-2"/>
                  <c:y val="-3.2663316582914617E-2"/>
                </c:manualLayout>
              </c:layout>
              <c:tx>
                <c:rich>
                  <a:bodyPr/>
                  <a:lstStyle/>
                  <a:p>
                    <a:fld id="{0FB087CD-37BD-4246-BF47-035E177D16D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AF24-4DD4-8C23-C096AA7DC918}"/>
                </c:ext>
              </c:extLst>
            </c:dLbl>
            <c:dLbl>
              <c:idx val="28"/>
              <c:tx>
                <c:rich>
                  <a:bodyPr/>
                  <a:lstStyle/>
                  <a:p>
                    <a:fld id="{1DF384B1-C796-4F7A-9488-E0E28A8E4D63}"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AF24-4DD4-8C23-C096AA7DC918}"/>
                </c:ext>
              </c:extLst>
            </c:dLbl>
            <c:dLbl>
              <c:idx val="29"/>
              <c:tx>
                <c:rich>
                  <a:bodyPr/>
                  <a:lstStyle/>
                  <a:p>
                    <a:fld id="{45FF9117-B8D4-42F1-B754-B12C6AD98D13}"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AF24-4DD4-8C23-C096AA7DC91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'DMA Matrix'!$F$5:$F$34</c:f>
              <c:numCache>
                <c:formatCode>0.00</c:formatCode>
                <c:ptCount val="30"/>
                <c:pt idx="0">
                  <c:v>5</c:v>
                </c:pt>
                <c:pt idx="1">
                  <c:v>5</c:v>
                </c:pt>
                <c:pt idx="2">
                  <c:v>4</c:v>
                </c:pt>
                <c:pt idx="3">
                  <c:v>3.8</c:v>
                </c:pt>
                <c:pt idx="4">
                  <c:v>3.8</c:v>
                </c:pt>
                <c:pt idx="5">
                  <c:v>2.5499999999999998</c:v>
                </c:pt>
                <c:pt idx="6">
                  <c:v>2.8499999999999996</c:v>
                </c:pt>
                <c:pt idx="7">
                  <c:v>3.8</c:v>
                </c:pt>
                <c:pt idx="8">
                  <c:v>2.5499999999999998</c:v>
                </c:pt>
                <c:pt idx="9">
                  <c:v>2.8499999999999996</c:v>
                </c:pt>
                <c:pt idx="10">
                  <c:v>4.75</c:v>
                </c:pt>
                <c:pt idx="11">
                  <c:v>2.8499999999999996</c:v>
                </c:pt>
                <c:pt idx="12">
                  <c:v>2.8499999999999996</c:v>
                </c:pt>
                <c:pt idx="13">
                  <c:v>3.8</c:v>
                </c:pt>
                <c:pt idx="14">
                  <c:v>3.4</c:v>
                </c:pt>
                <c:pt idx="15">
                  <c:v>3.4</c:v>
                </c:pt>
                <c:pt idx="16">
                  <c:v>3.4</c:v>
                </c:pt>
                <c:pt idx="17">
                  <c:v>4.75</c:v>
                </c:pt>
                <c:pt idx="18">
                  <c:v>3.8</c:v>
                </c:pt>
                <c:pt idx="19">
                  <c:v>5</c:v>
                </c:pt>
                <c:pt idx="20">
                  <c:v>4.25</c:v>
                </c:pt>
                <c:pt idx="21">
                  <c:v>4.75</c:v>
                </c:pt>
                <c:pt idx="22">
                  <c:v>3.8</c:v>
                </c:pt>
                <c:pt idx="23">
                  <c:v>4.75</c:v>
                </c:pt>
                <c:pt idx="24">
                  <c:v>4.75</c:v>
                </c:pt>
                <c:pt idx="25">
                  <c:v>3.4</c:v>
                </c:pt>
                <c:pt idx="26">
                  <c:v>3.4</c:v>
                </c:pt>
                <c:pt idx="27">
                  <c:v>2.5499999999999998</c:v>
                </c:pt>
                <c:pt idx="28">
                  <c:v>4.75</c:v>
                </c:pt>
                <c:pt idx="29">
                  <c:v>3.4</c:v>
                </c:pt>
              </c:numCache>
            </c:numRef>
          </c:xVal>
          <c:yVal>
            <c:numRef>
              <c:f>'DMA Matrix'!$D$5:$D$34</c:f>
              <c:numCache>
                <c:formatCode>0.00</c:formatCode>
                <c:ptCount val="30"/>
                <c:pt idx="0">
                  <c:v>5</c:v>
                </c:pt>
                <c:pt idx="1">
                  <c:v>5</c:v>
                </c:pt>
                <c:pt idx="2">
                  <c:v>3.3333333333333335</c:v>
                </c:pt>
                <c:pt idx="3">
                  <c:v>4.1166666666666663</c:v>
                </c:pt>
                <c:pt idx="4">
                  <c:v>3.8</c:v>
                </c:pt>
                <c:pt idx="5">
                  <c:v>3.6833333333333331</c:v>
                </c:pt>
                <c:pt idx="6">
                  <c:v>3.1666666666666665</c:v>
                </c:pt>
                <c:pt idx="7">
                  <c:v>3.4833333333333329</c:v>
                </c:pt>
                <c:pt idx="8">
                  <c:v>3.1166666666666663</c:v>
                </c:pt>
                <c:pt idx="9">
                  <c:v>3.1666666666666665</c:v>
                </c:pt>
                <c:pt idx="10">
                  <c:v>4.4333333333333336</c:v>
                </c:pt>
                <c:pt idx="11">
                  <c:v>3.1666666666666665</c:v>
                </c:pt>
                <c:pt idx="12">
                  <c:v>3.1666666666666665</c:v>
                </c:pt>
                <c:pt idx="13">
                  <c:v>2.8499999999999996</c:v>
                </c:pt>
                <c:pt idx="14">
                  <c:v>3.4</c:v>
                </c:pt>
                <c:pt idx="15">
                  <c:v>3.9666666666666668</c:v>
                </c:pt>
                <c:pt idx="16">
                  <c:v>4.1166666666666663</c:v>
                </c:pt>
                <c:pt idx="17">
                  <c:v>4.1166666666666663</c:v>
                </c:pt>
                <c:pt idx="18">
                  <c:v>3.4833333333333329</c:v>
                </c:pt>
                <c:pt idx="19">
                  <c:v>4.4333333333333336</c:v>
                </c:pt>
                <c:pt idx="20">
                  <c:v>3.4</c:v>
                </c:pt>
                <c:pt idx="21">
                  <c:v>4.1166666666666663</c:v>
                </c:pt>
                <c:pt idx="22">
                  <c:v>4.1166666666666663</c:v>
                </c:pt>
                <c:pt idx="23">
                  <c:v>4.1166666666666663</c:v>
                </c:pt>
                <c:pt idx="24">
                  <c:v>4.75</c:v>
                </c:pt>
                <c:pt idx="25">
                  <c:v>3.6833333333333331</c:v>
                </c:pt>
                <c:pt idx="26">
                  <c:v>3.4</c:v>
                </c:pt>
                <c:pt idx="27">
                  <c:v>3.1166666666666663</c:v>
                </c:pt>
                <c:pt idx="28">
                  <c:v>3.8</c:v>
                </c:pt>
                <c:pt idx="29">
                  <c:v>3.1166666666666663</c:v>
                </c:pt>
              </c:numCache>
            </c:numRef>
          </c:yVal>
          <c:smooth val="0"/>
          <c:extLst>
            <c:ext xmlns:c15="http://schemas.microsoft.com/office/drawing/2012/chart" uri="{02D57815-91ED-43cb-92C2-25804820EDAC}">
              <c15:datalabelsRange>
                <c15:f>'DMA Matrix'!$A$5:$A$34</c15:f>
                <c15:dlblRangeCache>
                  <c:ptCount val="30"/>
                  <c:pt idx="0">
                    <c:v>E01</c:v>
                  </c:pt>
                  <c:pt idx="1">
                    <c:v>E02</c:v>
                  </c:pt>
                  <c:pt idx="2">
                    <c:v>E03</c:v>
                  </c:pt>
                  <c:pt idx="3">
                    <c:v>E04</c:v>
                  </c:pt>
                  <c:pt idx="4">
                    <c:v>E05</c:v>
                  </c:pt>
                  <c:pt idx="5">
                    <c:v>E06</c:v>
                  </c:pt>
                  <c:pt idx="6">
                    <c:v>E07</c:v>
                  </c:pt>
                  <c:pt idx="7">
                    <c:v>E08</c:v>
                  </c:pt>
                  <c:pt idx="8">
                    <c:v>E09</c:v>
                  </c:pt>
                  <c:pt idx="9">
                    <c:v>E10</c:v>
                  </c:pt>
                  <c:pt idx="10">
                    <c:v>S01</c:v>
                  </c:pt>
                  <c:pt idx="11">
                    <c:v>S02</c:v>
                  </c:pt>
                  <c:pt idx="12">
                    <c:v>S03</c:v>
                  </c:pt>
                  <c:pt idx="13">
                    <c:v>S04</c:v>
                  </c:pt>
                  <c:pt idx="14">
                    <c:v>S05</c:v>
                  </c:pt>
                  <c:pt idx="15">
                    <c:v>S06</c:v>
                  </c:pt>
                  <c:pt idx="16">
                    <c:v>S07</c:v>
                  </c:pt>
                  <c:pt idx="17">
                    <c:v>S08</c:v>
                  </c:pt>
                  <c:pt idx="18">
                    <c:v>S09</c:v>
                  </c:pt>
                  <c:pt idx="19">
                    <c:v>S10</c:v>
                  </c:pt>
                  <c:pt idx="20">
                    <c:v>G01</c:v>
                  </c:pt>
                  <c:pt idx="21">
                    <c:v>G02</c:v>
                  </c:pt>
                  <c:pt idx="22">
                    <c:v>G03</c:v>
                  </c:pt>
                  <c:pt idx="23">
                    <c:v>G04</c:v>
                  </c:pt>
                  <c:pt idx="24">
                    <c:v>G05</c:v>
                  </c:pt>
                  <c:pt idx="25">
                    <c:v>G06</c:v>
                  </c:pt>
                  <c:pt idx="26">
                    <c:v>G07</c:v>
                  </c:pt>
                  <c:pt idx="27">
                    <c:v>G08</c:v>
                  </c:pt>
                  <c:pt idx="28">
                    <c:v>G09</c:v>
                  </c:pt>
                  <c:pt idx="29">
                    <c:v>G10</c:v>
                  </c:pt>
                </c15:dlblRangeCache>
              </c15:datalabelsRange>
            </c:ext>
            <c:ext xmlns:c16="http://schemas.microsoft.com/office/drawing/2014/chart" uri="{C3380CC4-5D6E-409C-BE32-E72D297353CC}">
              <c16:uniqueId val="{0000001E-AF24-4DD4-8C23-C096AA7DC918}"/>
            </c:ext>
          </c:extLst>
        </c:ser>
        <c:ser>
          <c:idx val="1"/>
          <c:order val="1"/>
          <c:tx>
            <c:v>Vertical Threshold</c:v>
          </c:tx>
          <c:spPr>
            <a:ln w="22225" cap="rnd">
              <a:solidFill>
                <a:schemeClr val="accent2"/>
              </a:solidFill>
              <a:round/>
            </a:ln>
            <a:effectLst/>
          </c:spPr>
          <c:marker>
            <c:symbol val="none"/>
          </c:marker>
          <c:xVal>
            <c:numRef>
              <c:f>'DMA Matrix'!$J$4:$J$5</c:f>
              <c:numCache>
                <c:formatCode>General</c:formatCode>
                <c:ptCount val="2"/>
                <c:pt idx="0">
                  <c:v>3</c:v>
                </c:pt>
                <c:pt idx="1">
                  <c:v>3</c:v>
                </c:pt>
              </c:numCache>
            </c:numRef>
          </c:xVal>
          <c:yVal>
            <c:numRef>
              <c:f>'DMA Matrix'!$K$4:$K$5</c:f>
              <c:numCache>
                <c:formatCode>General</c:formatCode>
                <c:ptCount val="2"/>
                <c:pt idx="0">
                  <c:v>1</c:v>
                </c:pt>
                <c:pt idx="1">
                  <c:v>5</c:v>
                </c:pt>
              </c:numCache>
            </c:numRef>
          </c:yVal>
          <c:smooth val="0"/>
          <c:extLst>
            <c:ext xmlns:c16="http://schemas.microsoft.com/office/drawing/2014/chart" uri="{C3380CC4-5D6E-409C-BE32-E72D297353CC}">
              <c16:uniqueId val="{0000001F-AF24-4DD4-8C23-C096AA7DC918}"/>
            </c:ext>
          </c:extLst>
        </c:ser>
        <c:ser>
          <c:idx val="2"/>
          <c:order val="2"/>
          <c:tx>
            <c:v>Horizontal Threshold</c:v>
          </c:tx>
          <c:spPr>
            <a:ln w="22225" cap="rnd">
              <a:solidFill>
                <a:schemeClr val="accent3"/>
              </a:solidFill>
              <a:round/>
            </a:ln>
            <a:effectLst/>
          </c:spPr>
          <c:marker>
            <c:symbol val="none"/>
          </c:marker>
          <c:xVal>
            <c:numRef>
              <c:f>'DMA Matrix'!$M$4:$M$5</c:f>
              <c:numCache>
                <c:formatCode>General</c:formatCode>
                <c:ptCount val="2"/>
                <c:pt idx="0">
                  <c:v>1</c:v>
                </c:pt>
                <c:pt idx="1">
                  <c:v>5</c:v>
                </c:pt>
              </c:numCache>
            </c:numRef>
          </c:xVal>
          <c:yVal>
            <c:numRef>
              <c:f>'DMA Matrix'!$N$4:$N$5</c:f>
              <c:numCache>
                <c:formatCode>General</c:formatCode>
                <c:ptCount val="2"/>
                <c:pt idx="0">
                  <c:v>3</c:v>
                </c:pt>
                <c:pt idx="1">
                  <c:v>3</c:v>
                </c:pt>
              </c:numCache>
            </c:numRef>
          </c:yVal>
          <c:smooth val="0"/>
          <c:extLst>
            <c:ext xmlns:c16="http://schemas.microsoft.com/office/drawing/2014/chart" uri="{C3380CC4-5D6E-409C-BE32-E72D297353CC}">
              <c16:uniqueId val="{00000020-AF24-4DD4-8C23-C096AA7DC918}"/>
            </c:ext>
          </c:extLst>
        </c:ser>
        <c:dLbls>
          <c:showLegendKey val="0"/>
          <c:showVal val="0"/>
          <c:showCatName val="0"/>
          <c:showSerName val="0"/>
          <c:showPercent val="0"/>
          <c:showBubbleSize val="0"/>
        </c:dLbls>
        <c:axId val="1637654015"/>
        <c:axId val="1738029007"/>
      </c:scatterChart>
      <c:valAx>
        <c:axId val="1637654015"/>
        <c:scaling>
          <c:orientation val="minMax"/>
          <c:max val="5"/>
          <c:min val="1"/>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738029007"/>
        <c:crosses val="autoZero"/>
        <c:crossBetween val="midCat"/>
        <c:majorUnit val="1"/>
      </c:valAx>
      <c:valAx>
        <c:axId val="1738029007"/>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654015"/>
        <c:crosses val="autoZero"/>
        <c:crossBetween val="midCat"/>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306609401097586E-2"/>
          <c:y val="0.16245370370370371"/>
          <c:w val="0.90469339059890241"/>
          <c:h val="0.67457604257801107"/>
        </c:manualLayout>
      </c:layout>
      <c:barChart>
        <c:barDir val="col"/>
        <c:grouping val="clustered"/>
        <c:varyColors val="0"/>
        <c:ser>
          <c:idx val="0"/>
          <c:order val="0"/>
          <c:tx>
            <c:strRef>
              <c:f>Dashboard!$K$9</c:f>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Dashboard!$J$10:$J$12</c:f>
              <c:strCache>
                <c:ptCount val="3"/>
                <c:pt idx="0">
                  <c:v>Environmental</c:v>
                </c:pt>
                <c:pt idx="1">
                  <c:v>Social</c:v>
                </c:pt>
                <c:pt idx="2">
                  <c:v>Governance</c:v>
                </c:pt>
              </c:strCache>
            </c:strRef>
          </c:cat>
          <c:val>
            <c:numRef>
              <c:f>Dashboard!$K$10:$K$12</c:f>
              <c:numCache>
                <c:formatCode>General</c:formatCode>
                <c:ptCount val="3"/>
                <c:pt idx="0">
                  <c:v>6</c:v>
                </c:pt>
                <c:pt idx="1">
                  <c:v>7</c:v>
                </c:pt>
                <c:pt idx="2">
                  <c:v>9</c:v>
                </c:pt>
              </c:numCache>
            </c:numRef>
          </c:val>
          <c:extLst>
            <c:ext xmlns:c16="http://schemas.microsoft.com/office/drawing/2014/chart" uri="{C3380CC4-5D6E-409C-BE32-E72D297353CC}">
              <c16:uniqueId val="{00000000-A0EA-41CA-B9F6-0EFF99A1DD47}"/>
            </c:ext>
          </c:extLst>
        </c:ser>
        <c:dLbls>
          <c:dLblPos val="outEnd"/>
          <c:showLegendKey val="0"/>
          <c:showVal val="1"/>
          <c:showCatName val="0"/>
          <c:showSerName val="0"/>
          <c:showPercent val="0"/>
          <c:showBubbleSize val="0"/>
        </c:dLbls>
        <c:gapWidth val="219"/>
        <c:overlap val="-27"/>
        <c:axId val="1111660864"/>
        <c:axId val="237713776"/>
      </c:barChart>
      <c:catAx>
        <c:axId val="111166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713776"/>
        <c:crosses val="autoZero"/>
        <c:auto val="1"/>
        <c:lblAlgn val="ctr"/>
        <c:lblOffset val="100"/>
        <c:noMultiLvlLbl val="0"/>
      </c:catAx>
      <c:valAx>
        <c:axId val="23771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60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079151850237227E-2"/>
          <c:y val="2.0967341387698825E-2"/>
          <c:w val="0.8617386264216973"/>
          <c:h val="0.8416746864975212"/>
        </c:manualLayout>
      </c:layout>
      <c:scatterChart>
        <c:scatterStyle val="lineMarker"/>
        <c:varyColors val="0"/>
        <c:ser>
          <c:idx val="0"/>
          <c:order val="0"/>
          <c:tx>
            <c:strRef>
              <c:f>'DMA Matrix'!$A$34:$G$34</c:f>
              <c:strCache>
                <c:ptCount val="1"/>
                <c:pt idx="0">
                  <c:v>G10 Governance Creating Economic Value 3.12 High 3.40 High</c:v>
                </c:pt>
              </c:strCache>
            </c:strRef>
          </c:tx>
          <c:spPr>
            <a:ln w="25400" cap="rnd">
              <a:noFill/>
              <a:round/>
            </a:ln>
            <a:effectLst/>
          </c:spPr>
          <c:marker>
            <c:symbol val="diamond"/>
            <c:size val="6"/>
            <c:spPr>
              <a:solidFill>
                <a:schemeClr val="accent1"/>
              </a:solidFill>
              <a:ln w="9525">
                <a:solidFill>
                  <a:schemeClr val="accent1"/>
                </a:solidFill>
                <a:round/>
              </a:ln>
              <a:effectLst/>
            </c:spPr>
          </c:marker>
          <c:dLbls>
            <c:dLbl>
              <c:idx val="0"/>
              <c:tx>
                <c:rich>
                  <a:bodyPr/>
                  <a:lstStyle/>
                  <a:p>
                    <a:fld id="{397DA85C-F171-4F36-9250-94B7CC05D44A}" type="CELLRANGE">
                      <a:rPr lang="en-US"/>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512D-4FEB-AAE8-2D04D4D07202}"/>
                </c:ext>
              </c:extLst>
            </c:dLbl>
            <c:dLbl>
              <c:idx val="1"/>
              <c:tx>
                <c:rich>
                  <a:bodyPr/>
                  <a:lstStyle/>
                  <a:p>
                    <a:fld id="{28C992FB-E4A6-4BB0-84F1-92837EE0DF89}"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12D-4FEB-AAE8-2D04D4D07202}"/>
                </c:ext>
              </c:extLst>
            </c:dLbl>
            <c:dLbl>
              <c:idx val="2"/>
              <c:tx>
                <c:rich>
                  <a:bodyPr/>
                  <a:lstStyle/>
                  <a:p>
                    <a:fld id="{A669C82D-7D33-4015-879E-8824E37CC17A}"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12D-4FEB-AAE8-2D04D4D07202}"/>
                </c:ext>
              </c:extLst>
            </c:dLbl>
            <c:dLbl>
              <c:idx val="3"/>
              <c:tx>
                <c:rich>
                  <a:bodyPr/>
                  <a:lstStyle/>
                  <a:p>
                    <a:fld id="{B63EDE88-02FF-4407-853D-0CAFFD5713C3}"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12D-4FEB-AAE8-2D04D4D07202}"/>
                </c:ext>
              </c:extLst>
            </c:dLbl>
            <c:dLbl>
              <c:idx val="4"/>
              <c:tx>
                <c:rich>
                  <a:bodyPr/>
                  <a:lstStyle/>
                  <a:p>
                    <a:fld id="{5B3CE931-56EF-4D58-8A2C-213911C4E0DF}"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12D-4FEB-AAE8-2D04D4D07202}"/>
                </c:ext>
              </c:extLst>
            </c:dLbl>
            <c:dLbl>
              <c:idx val="5"/>
              <c:tx>
                <c:rich>
                  <a:bodyPr/>
                  <a:lstStyle/>
                  <a:p>
                    <a:fld id="{03382451-2435-4665-8F49-963A428857CB}"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12D-4FEB-AAE8-2D04D4D07202}"/>
                </c:ext>
              </c:extLst>
            </c:dLbl>
            <c:dLbl>
              <c:idx val="6"/>
              <c:tx>
                <c:rich>
                  <a:bodyPr/>
                  <a:lstStyle/>
                  <a:p>
                    <a:fld id="{062FEA08-6B6F-42EC-8065-901571ED4136}"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12D-4FEB-AAE8-2D04D4D07202}"/>
                </c:ext>
              </c:extLst>
            </c:dLbl>
            <c:dLbl>
              <c:idx val="7"/>
              <c:tx>
                <c:rich>
                  <a:bodyPr/>
                  <a:lstStyle/>
                  <a:p>
                    <a:fld id="{786E027A-57B6-409B-A574-F5C0B10EEF66}"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12D-4FEB-AAE8-2D04D4D07202}"/>
                </c:ext>
              </c:extLst>
            </c:dLbl>
            <c:dLbl>
              <c:idx val="8"/>
              <c:tx>
                <c:rich>
                  <a:bodyPr/>
                  <a:lstStyle/>
                  <a:p>
                    <a:fld id="{7B67D6CB-2C6A-4FB2-BBD5-5BBFEBDC5787}"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12D-4FEB-AAE8-2D04D4D07202}"/>
                </c:ext>
              </c:extLst>
            </c:dLbl>
            <c:dLbl>
              <c:idx val="9"/>
              <c:layout>
                <c:manualLayout>
                  <c:x val="-1.5383101477167285E-2"/>
                  <c:y val="2.0100502512562769E-2"/>
                </c:manualLayout>
              </c:layout>
              <c:tx>
                <c:rich>
                  <a:bodyPr/>
                  <a:lstStyle/>
                  <a:p>
                    <a:fld id="{01DB68FD-F049-4488-A54C-E1FB4C8CD83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512D-4FEB-AAE8-2D04D4D07202}"/>
                </c:ext>
              </c:extLst>
            </c:dLbl>
            <c:dLbl>
              <c:idx val="10"/>
              <c:tx>
                <c:rich>
                  <a:bodyPr/>
                  <a:lstStyle/>
                  <a:p>
                    <a:fld id="{70D97E84-0CA6-493A-BB5B-CCC9DCF37EA6}"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12D-4FEB-AAE8-2D04D4D07202}"/>
                </c:ext>
              </c:extLst>
            </c:dLbl>
            <c:dLbl>
              <c:idx val="11"/>
              <c:layout>
                <c:manualLayout>
                  <c:x val="-5.6997675349089151E-2"/>
                  <c:y val="-3.0150753768844268E-2"/>
                </c:manualLayout>
              </c:layout>
              <c:tx>
                <c:rich>
                  <a:bodyPr/>
                  <a:lstStyle/>
                  <a:p>
                    <a:fld id="{A3A364C5-14E7-4BDD-A5FA-99C25E0F822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12D-4FEB-AAE8-2D04D4D07202}"/>
                </c:ext>
              </c:extLst>
            </c:dLbl>
            <c:dLbl>
              <c:idx val="12"/>
              <c:layout>
                <c:manualLayout>
                  <c:x val="-4.6574803460392791E-2"/>
                  <c:y val="-7.5376785502314719E-2"/>
                </c:manualLayout>
              </c:layout>
              <c:tx>
                <c:rich>
                  <a:bodyPr/>
                  <a:lstStyle/>
                  <a:p>
                    <a:fld id="{F22A8BC1-31A2-46D5-9ADE-EF15B71B778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12D-4FEB-AAE8-2D04D4D07202}"/>
                </c:ext>
              </c:extLst>
            </c:dLbl>
            <c:dLbl>
              <c:idx val="13"/>
              <c:tx>
                <c:rich>
                  <a:bodyPr/>
                  <a:lstStyle/>
                  <a:p>
                    <a:fld id="{76B3EF80-FB55-4DEB-8F00-4AE4574BE6A5}"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12D-4FEB-AAE8-2D04D4D07202}"/>
                </c:ext>
              </c:extLst>
            </c:dLbl>
            <c:dLbl>
              <c:idx val="14"/>
              <c:tx>
                <c:rich>
                  <a:bodyPr/>
                  <a:lstStyle/>
                  <a:p>
                    <a:fld id="{0FC6AC2E-D5FE-4FBD-9FEA-81E9BCC9EADD}"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12D-4FEB-AAE8-2D04D4D07202}"/>
                </c:ext>
              </c:extLst>
            </c:dLbl>
            <c:dLbl>
              <c:idx val="15"/>
              <c:tx>
                <c:rich>
                  <a:bodyPr/>
                  <a:lstStyle/>
                  <a:p>
                    <a:fld id="{2BFF5B1E-1B04-487E-90A1-3521BE2A6152}"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12D-4FEB-AAE8-2D04D4D07202}"/>
                </c:ext>
              </c:extLst>
            </c:dLbl>
            <c:dLbl>
              <c:idx val="16"/>
              <c:tx>
                <c:rich>
                  <a:bodyPr/>
                  <a:lstStyle/>
                  <a:p>
                    <a:fld id="{06797C7A-04BF-4330-8ADD-8888B433E2B2}"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12D-4FEB-AAE8-2D04D4D07202}"/>
                </c:ext>
              </c:extLst>
            </c:dLbl>
            <c:dLbl>
              <c:idx val="17"/>
              <c:tx>
                <c:rich>
                  <a:bodyPr/>
                  <a:lstStyle/>
                  <a:p>
                    <a:fld id="{0289D77E-DA95-4B2C-9FA2-6E234370F6A4}"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512D-4FEB-AAE8-2D04D4D07202}"/>
                </c:ext>
              </c:extLst>
            </c:dLbl>
            <c:dLbl>
              <c:idx val="18"/>
              <c:layout>
                <c:manualLayout>
                  <c:x val="-5.2147491914133169E-2"/>
                  <c:y val="-2.0100502512562814E-2"/>
                </c:manualLayout>
              </c:layout>
              <c:tx>
                <c:rich>
                  <a:bodyPr/>
                  <a:lstStyle/>
                  <a:p>
                    <a:fld id="{070ECF0E-91F1-488A-9BD2-FACDE7CCECA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512D-4FEB-AAE8-2D04D4D07202}"/>
                </c:ext>
              </c:extLst>
            </c:dLbl>
            <c:dLbl>
              <c:idx val="19"/>
              <c:tx>
                <c:rich>
                  <a:bodyPr/>
                  <a:lstStyle/>
                  <a:p>
                    <a:fld id="{894EA1EF-5AE7-401A-9D2F-DD42AC832FBE}"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12D-4FEB-AAE8-2D04D4D07202}"/>
                </c:ext>
              </c:extLst>
            </c:dLbl>
            <c:dLbl>
              <c:idx val="20"/>
              <c:tx>
                <c:rich>
                  <a:bodyPr/>
                  <a:lstStyle/>
                  <a:p>
                    <a:fld id="{ED4F627B-FD23-4E57-B857-46A2A8D2F73C}"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12D-4FEB-AAE8-2D04D4D07202}"/>
                </c:ext>
              </c:extLst>
            </c:dLbl>
            <c:dLbl>
              <c:idx val="21"/>
              <c:layout>
                <c:manualLayout>
                  <c:x val="3.2334556233039476E-4"/>
                  <c:y val="-2.5125628140703518E-3"/>
                </c:manualLayout>
              </c:layout>
              <c:tx>
                <c:rich>
                  <a:bodyPr/>
                  <a:lstStyle/>
                  <a:p>
                    <a:fld id="{067A8FBA-A72E-4F6A-BCF4-869BCC100FA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12D-4FEB-AAE8-2D04D4D07202}"/>
                </c:ext>
              </c:extLst>
            </c:dLbl>
            <c:dLbl>
              <c:idx val="22"/>
              <c:layout>
                <c:manualLayout>
                  <c:x val="-2.5544299424101302E-2"/>
                  <c:y val="-4.2713567839195977E-2"/>
                </c:manualLayout>
              </c:layout>
              <c:tx>
                <c:rich>
                  <a:bodyPr/>
                  <a:lstStyle/>
                  <a:p>
                    <a:fld id="{766883B9-BC36-451A-B87D-10605FC0EAF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12D-4FEB-AAE8-2D04D4D07202}"/>
                </c:ext>
              </c:extLst>
            </c:dLbl>
            <c:dLbl>
              <c:idx val="23"/>
              <c:layout>
                <c:manualLayout>
                  <c:x val="-2.3927571612449093E-2"/>
                  <c:y val="3.0150753768844175E-2"/>
                </c:manualLayout>
              </c:layout>
              <c:tx>
                <c:rich>
                  <a:bodyPr/>
                  <a:lstStyle/>
                  <a:p>
                    <a:fld id="{DCA6F7CE-5E7C-4775-A7A7-98AE58632A7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12D-4FEB-AAE8-2D04D4D07202}"/>
                </c:ext>
              </c:extLst>
            </c:dLbl>
            <c:dLbl>
              <c:idx val="24"/>
              <c:tx>
                <c:rich>
                  <a:bodyPr/>
                  <a:lstStyle/>
                  <a:p>
                    <a:fld id="{607A4B95-FD73-4988-989D-7C1E0FE30293}"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512D-4FEB-AAE8-2D04D4D07202}"/>
                </c:ext>
              </c:extLst>
            </c:dLbl>
            <c:dLbl>
              <c:idx val="25"/>
              <c:tx>
                <c:rich>
                  <a:bodyPr/>
                  <a:lstStyle/>
                  <a:p>
                    <a:fld id="{91FA7465-D3BE-40D3-A2B0-3C8C3C8A4E25}"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512D-4FEB-AAE8-2D04D4D07202}"/>
                </c:ext>
              </c:extLst>
            </c:dLbl>
            <c:dLbl>
              <c:idx val="26"/>
              <c:layout>
                <c:manualLayout>
                  <c:x val="-4.4945033163924987E-2"/>
                  <c:y val="-2.2613065326633212E-2"/>
                </c:manualLayout>
              </c:layout>
              <c:tx>
                <c:rich>
                  <a:bodyPr/>
                  <a:lstStyle/>
                  <a:p>
                    <a:fld id="{FF12349D-4C4E-44B3-B6C3-06137C083D2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512D-4FEB-AAE8-2D04D4D07202}"/>
                </c:ext>
              </c:extLst>
            </c:dLbl>
            <c:dLbl>
              <c:idx val="27"/>
              <c:layout>
                <c:manualLayout>
                  <c:x val="-4.8178488787228815E-2"/>
                  <c:y val="-3.2663316582914617E-2"/>
                </c:manualLayout>
              </c:layout>
              <c:tx>
                <c:rich>
                  <a:bodyPr/>
                  <a:lstStyle/>
                  <a:p>
                    <a:fld id="{6455FCF5-1C1F-4504-A793-5572D5E5A80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512D-4FEB-AAE8-2D04D4D07202}"/>
                </c:ext>
              </c:extLst>
            </c:dLbl>
            <c:dLbl>
              <c:idx val="28"/>
              <c:tx>
                <c:rich>
                  <a:bodyPr/>
                  <a:lstStyle/>
                  <a:p>
                    <a:fld id="{D16424BD-7F2D-4D5E-BFD8-B84E42B42979}"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512D-4FEB-AAE8-2D04D4D07202}"/>
                </c:ext>
              </c:extLst>
            </c:dLbl>
            <c:dLbl>
              <c:idx val="29"/>
              <c:tx>
                <c:rich>
                  <a:bodyPr/>
                  <a:lstStyle/>
                  <a:p>
                    <a:fld id="{CCD5C95A-19CF-4483-9877-341B6FCC1299}" type="CELLRANGE">
                      <a:rPr lang="en-IN"/>
                      <a:pPr/>
                      <a:t>[CELLRANGE]</a:t>
                    </a:fld>
                    <a:endParaRPr lang="en-IN"/>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512D-4FEB-AAE8-2D04D4D0720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'DMA Matrix'!$F$5:$F$34</c:f>
              <c:numCache>
                <c:formatCode>0.00</c:formatCode>
                <c:ptCount val="30"/>
                <c:pt idx="0">
                  <c:v>5</c:v>
                </c:pt>
                <c:pt idx="1">
                  <c:v>5</c:v>
                </c:pt>
                <c:pt idx="2">
                  <c:v>4</c:v>
                </c:pt>
                <c:pt idx="3">
                  <c:v>3.8</c:v>
                </c:pt>
                <c:pt idx="4">
                  <c:v>3.8</c:v>
                </c:pt>
                <c:pt idx="5">
                  <c:v>2.5499999999999998</c:v>
                </c:pt>
                <c:pt idx="6">
                  <c:v>2.8499999999999996</c:v>
                </c:pt>
                <c:pt idx="7">
                  <c:v>3.8</c:v>
                </c:pt>
                <c:pt idx="8">
                  <c:v>2.5499999999999998</c:v>
                </c:pt>
                <c:pt idx="9">
                  <c:v>2.8499999999999996</c:v>
                </c:pt>
                <c:pt idx="10">
                  <c:v>4.75</c:v>
                </c:pt>
                <c:pt idx="11">
                  <c:v>2.8499999999999996</c:v>
                </c:pt>
                <c:pt idx="12">
                  <c:v>2.8499999999999996</c:v>
                </c:pt>
                <c:pt idx="13">
                  <c:v>3.8</c:v>
                </c:pt>
                <c:pt idx="14">
                  <c:v>3.4</c:v>
                </c:pt>
                <c:pt idx="15">
                  <c:v>3.4</c:v>
                </c:pt>
                <c:pt idx="16">
                  <c:v>3.4</c:v>
                </c:pt>
                <c:pt idx="17">
                  <c:v>4.75</c:v>
                </c:pt>
                <c:pt idx="18">
                  <c:v>3.8</c:v>
                </c:pt>
                <c:pt idx="19">
                  <c:v>5</c:v>
                </c:pt>
                <c:pt idx="20">
                  <c:v>4.25</c:v>
                </c:pt>
                <c:pt idx="21">
                  <c:v>4.75</c:v>
                </c:pt>
                <c:pt idx="22">
                  <c:v>3.8</c:v>
                </c:pt>
                <c:pt idx="23">
                  <c:v>4.75</c:v>
                </c:pt>
                <c:pt idx="24">
                  <c:v>4.75</c:v>
                </c:pt>
                <c:pt idx="25">
                  <c:v>3.4</c:v>
                </c:pt>
                <c:pt idx="26">
                  <c:v>3.4</c:v>
                </c:pt>
                <c:pt idx="27">
                  <c:v>2.5499999999999998</c:v>
                </c:pt>
                <c:pt idx="28">
                  <c:v>4.75</c:v>
                </c:pt>
                <c:pt idx="29">
                  <c:v>3.4</c:v>
                </c:pt>
              </c:numCache>
            </c:numRef>
          </c:xVal>
          <c:yVal>
            <c:numRef>
              <c:f>'DMA Matrix'!$D$5:$D$34</c:f>
              <c:numCache>
                <c:formatCode>0.00</c:formatCode>
                <c:ptCount val="30"/>
                <c:pt idx="0">
                  <c:v>5</c:v>
                </c:pt>
                <c:pt idx="1">
                  <c:v>5</c:v>
                </c:pt>
                <c:pt idx="2">
                  <c:v>3.3333333333333335</c:v>
                </c:pt>
                <c:pt idx="3">
                  <c:v>4.1166666666666663</c:v>
                </c:pt>
                <c:pt idx="4">
                  <c:v>3.8</c:v>
                </c:pt>
                <c:pt idx="5">
                  <c:v>3.6833333333333331</c:v>
                </c:pt>
                <c:pt idx="6">
                  <c:v>3.1666666666666665</c:v>
                </c:pt>
                <c:pt idx="7">
                  <c:v>3.4833333333333329</c:v>
                </c:pt>
                <c:pt idx="8">
                  <c:v>3.1166666666666663</c:v>
                </c:pt>
                <c:pt idx="9">
                  <c:v>3.1666666666666665</c:v>
                </c:pt>
                <c:pt idx="10">
                  <c:v>4.4333333333333336</c:v>
                </c:pt>
                <c:pt idx="11">
                  <c:v>3.1666666666666665</c:v>
                </c:pt>
                <c:pt idx="12">
                  <c:v>3.1666666666666665</c:v>
                </c:pt>
                <c:pt idx="13">
                  <c:v>2.8499999999999996</c:v>
                </c:pt>
                <c:pt idx="14">
                  <c:v>3.4</c:v>
                </c:pt>
                <c:pt idx="15">
                  <c:v>3.9666666666666668</c:v>
                </c:pt>
                <c:pt idx="16">
                  <c:v>4.1166666666666663</c:v>
                </c:pt>
                <c:pt idx="17">
                  <c:v>4.1166666666666663</c:v>
                </c:pt>
                <c:pt idx="18">
                  <c:v>3.4833333333333329</c:v>
                </c:pt>
                <c:pt idx="19">
                  <c:v>4.4333333333333336</c:v>
                </c:pt>
                <c:pt idx="20">
                  <c:v>3.4</c:v>
                </c:pt>
                <c:pt idx="21">
                  <c:v>4.1166666666666663</c:v>
                </c:pt>
                <c:pt idx="22">
                  <c:v>4.1166666666666663</c:v>
                </c:pt>
                <c:pt idx="23">
                  <c:v>4.1166666666666663</c:v>
                </c:pt>
                <c:pt idx="24">
                  <c:v>4.75</c:v>
                </c:pt>
                <c:pt idx="25">
                  <c:v>3.6833333333333331</c:v>
                </c:pt>
                <c:pt idx="26">
                  <c:v>3.4</c:v>
                </c:pt>
                <c:pt idx="27">
                  <c:v>3.1166666666666663</c:v>
                </c:pt>
                <c:pt idx="28">
                  <c:v>3.8</c:v>
                </c:pt>
                <c:pt idx="29">
                  <c:v>3.1166666666666663</c:v>
                </c:pt>
              </c:numCache>
            </c:numRef>
          </c:yVal>
          <c:smooth val="0"/>
          <c:extLst>
            <c:ext xmlns:c15="http://schemas.microsoft.com/office/drawing/2012/chart" uri="{02D57815-91ED-43cb-92C2-25804820EDAC}">
              <c15:datalabelsRange>
                <c15:f>'DMA Matrix'!$A$5:$A$34</c15:f>
                <c15:dlblRangeCache>
                  <c:ptCount val="30"/>
                  <c:pt idx="0">
                    <c:v>E01</c:v>
                  </c:pt>
                  <c:pt idx="1">
                    <c:v>E02</c:v>
                  </c:pt>
                  <c:pt idx="2">
                    <c:v>E03</c:v>
                  </c:pt>
                  <c:pt idx="3">
                    <c:v>E04</c:v>
                  </c:pt>
                  <c:pt idx="4">
                    <c:v>E05</c:v>
                  </c:pt>
                  <c:pt idx="5">
                    <c:v>E06</c:v>
                  </c:pt>
                  <c:pt idx="6">
                    <c:v>E07</c:v>
                  </c:pt>
                  <c:pt idx="7">
                    <c:v>E08</c:v>
                  </c:pt>
                  <c:pt idx="8">
                    <c:v>E09</c:v>
                  </c:pt>
                  <c:pt idx="9">
                    <c:v>E10</c:v>
                  </c:pt>
                  <c:pt idx="10">
                    <c:v>S01</c:v>
                  </c:pt>
                  <c:pt idx="11">
                    <c:v>S02</c:v>
                  </c:pt>
                  <c:pt idx="12">
                    <c:v>S03</c:v>
                  </c:pt>
                  <c:pt idx="13">
                    <c:v>S04</c:v>
                  </c:pt>
                  <c:pt idx="14">
                    <c:v>S05</c:v>
                  </c:pt>
                  <c:pt idx="15">
                    <c:v>S06</c:v>
                  </c:pt>
                  <c:pt idx="16">
                    <c:v>S07</c:v>
                  </c:pt>
                  <c:pt idx="17">
                    <c:v>S08</c:v>
                  </c:pt>
                  <c:pt idx="18">
                    <c:v>S09</c:v>
                  </c:pt>
                  <c:pt idx="19">
                    <c:v>S10</c:v>
                  </c:pt>
                  <c:pt idx="20">
                    <c:v>G01</c:v>
                  </c:pt>
                  <c:pt idx="21">
                    <c:v>G02</c:v>
                  </c:pt>
                  <c:pt idx="22">
                    <c:v>G03</c:v>
                  </c:pt>
                  <c:pt idx="23">
                    <c:v>G04</c:v>
                  </c:pt>
                  <c:pt idx="24">
                    <c:v>G05</c:v>
                  </c:pt>
                  <c:pt idx="25">
                    <c:v>G06</c:v>
                  </c:pt>
                  <c:pt idx="26">
                    <c:v>G07</c:v>
                  </c:pt>
                  <c:pt idx="27">
                    <c:v>G08</c:v>
                  </c:pt>
                  <c:pt idx="28">
                    <c:v>G09</c:v>
                  </c:pt>
                  <c:pt idx="29">
                    <c:v>G10</c:v>
                  </c:pt>
                </c15:dlblRangeCache>
              </c15:datalabelsRange>
            </c:ext>
            <c:ext xmlns:c16="http://schemas.microsoft.com/office/drawing/2014/chart" uri="{C3380CC4-5D6E-409C-BE32-E72D297353CC}">
              <c16:uniqueId val="{00000000-512D-4FEB-AAE8-2D04D4D07202}"/>
            </c:ext>
          </c:extLst>
        </c:ser>
        <c:ser>
          <c:idx val="1"/>
          <c:order val="1"/>
          <c:tx>
            <c:v>Vertical Threshold</c:v>
          </c:tx>
          <c:spPr>
            <a:ln w="22225" cap="rnd">
              <a:solidFill>
                <a:schemeClr val="accent2"/>
              </a:solidFill>
              <a:round/>
            </a:ln>
            <a:effectLst/>
          </c:spPr>
          <c:marker>
            <c:symbol val="none"/>
          </c:marker>
          <c:xVal>
            <c:numRef>
              <c:f>'DMA Matrix'!$J$4:$J$5</c:f>
              <c:numCache>
                <c:formatCode>General</c:formatCode>
                <c:ptCount val="2"/>
                <c:pt idx="0">
                  <c:v>3</c:v>
                </c:pt>
                <c:pt idx="1">
                  <c:v>3</c:v>
                </c:pt>
              </c:numCache>
            </c:numRef>
          </c:xVal>
          <c:yVal>
            <c:numRef>
              <c:f>'DMA Matrix'!$K$4:$K$5</c:f>
              <c:numCache>
                <c:formatCode>General</c:formatCode>
                <c:ptCount val="2"/>
                <c:pt idx="0">
                  <c:v>1</c:v>
                </c:pt>
                <c:pt idx="1">
                  <c:v>5</c:v>
                </c:pt>
              </c:numCache>
            </c:numRef>
          </c:yVal>
          <c:smooth val="0"/>
          <c:extLst>
            <c:ext xmlns:c16="http://schemas.microsoft.com/office/drawing/2014/chart" uri="{C3380CC4-5D6E-409C-BE32-E72D297353CC}">
              <c16:uniqueId val="{00000002-512D-4FEB-AAE8-2D04D4D07202}"/>
            </c:ext>
          </c:extLst>
        </c:ser>
        <c:ser>
          <c:idx val="2"/>
          <c:order val="2"/>
          <c:tx>
            <c:v>Horizontal Threshold</c:v>
          </c:tx>
          <c:spPr>
            <a:ln w="22225" cap="rnd">
              <a:solidFill>
                <a:schemeClr val="accent3"/>
              </a:solidFill>
              <a:round/>
            </a:ln>
            <a:effectLst/>
          </c:spPr>
          <c:marker>
            <c:symbol val="none"/>
          </c:marker>
          <c:xVal>
            <c:numRef>
              <c:f>'DMA Matrix'!$M$4:$M$5</c:f>
              <c:numCache>
                <c:formatCode>General</c:formatCode>
                <c:ptCount val="2"/>
                <c:pt idx="0">
                  <c:v>1</c:v>
                </c:pt>
                <c:pt idx="1">
                  <c:v>5</c:v>
                </c:pt>
              </c:numCache>
            </c:numRef>
          </c:xVal>
          <c:yVal>
            <c:numRef>
              <c:f>'DMA Matrix'!$N$4:$N$5</c:f>
              <c:numCache>
                <c:formatCode>General</c:formatCode>
                <c:ptCount val="2"/>
                <c:pt idx="0">
                  <c:v>3</c:v>
                </c:pt>
                <c:pt idx="1">
                  <c:v>3</c:v>
                </c:pt>
              </c:numCache>
            </c:numRef>
          </c:yVal>
          <c:smooth val="0"/>
          <c:extLst>
            <c:ext xmlns:c16="http://schemas.microsoft.com/office/drawing/2014/chart" uri="{C3380CC4-5D6E-409C-BE32-E72D297353CC}">
              <c16:uniqueId val="{00000003-512D-4FEB-AAE8-2D04D4D07202}"/>
            </c:ext>
          </c:extLst>
        </c:ser>
        <c:dLbls>
          <c:showLegendKey val="0"/>
          <c:showVal val="0"/>
          <c:showCatName val="0"/>
          <c:showSerName val="0"/>
          <c:showPercent val="0"/>
          <c:showBubbleSize val="0"/>
        </c:dLbls>
        <c:axId val="1637654015"/>
        <c:axId val="1738029007"/>
      </c:scatterChart>
      <c:valAx>
        <c:axId val="1637654015"/>
        <c:scaling>
          <c:orientation val="minMax"/>
          <c:max val="5"/>
          <c:min val="1"/>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738029007"/>
        <c:crosses val="autoZero"/>
        <c:crossBetween val="midCat"/>
        <c:majorUnit val="1"/>
      </c:valAx>
      <c:valAx>
        <c:axId val="1738029007"/>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654015"/>
        <c:crosses val="autoZero"/>
        <c:crossBetween val="midCat"/>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xdr:colOff>
      <xdr:row>8</xdr:row>
      <xdr:rowOff>22860</xdr:rowOff>
    </xdr:from>
    <xdr:to>
      <xdr:col>8</xdr:col>
      <xdr:colOff>254000</xdr:colOff>
      <xdr:row>25</xdr:row>
      <xdr:rowOff>15240</xdr:rowOff>
    </xdr:to>
    <xdr:graphicFrame macro="">
      <xdr:nvGraphicFramePr>
        <xdr:cNvPr id="2" name="Chart 1">
          <a:extLst>
            <a:ext uri="{FF2B5EF4-FFF2-40B4-BE49-F238E27FC236}">
              <a16:creationId xmlns:a16="http://schemas.microsoft.com/office/drawing/2014/main" id="{9976144C-D241-452F-B79A-1EF919353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12</xdr:row>
      <xdr:rowOff>146243</xdr:rowOff>
    </xdr:from>
    <xdr:to>
      <xdr:col>15</xdr:col>
      <xdr:colOff>15394</xdr:colOff>
      <xdr:row>23</xdr:row>
      <xdr:rowOff>137160</xdr:rowOff>
    </xdr:to>
    <xdr:graphicFrame macro="">
      <xdr:nvGraphicFramePr>
        <xdr:cNvPr id="3" name="Chart 2">
          <a:extLst>
            <a:ext uri="{FF2B5EF4-FFF2-40B4-BE49-F238E27FC236}">
              <a16:creationId xmlns:a16="http://schemas.microsoft.com/office/drawing/2014/main" id="{D2B32A72-CDCE-6759-6723-D77F6C37B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0.17216</cdr:x>
      <cdr:y>0.54033</cdr:y>
    </cdr:from>
    <cdr:to>
      <cdr:x>0.3518</cdr:x>
      <cdr:y>0.84763</cdr:y>
    </cdr:to>
    <cdr:sp macro="" textlink="">
      <cdr:nvSpPr>
        <cdr:cNvPr id="2" name="TextBox 1">
          <a:extLst xmlns:a="http://schemas.openxmlformats.org/drawingml/2006/main">
            <a:ext uri="{FF2B5EF4-FFF2-40B4-BE49-F238E27FC236}">
              <a16:creationId xmlns:a16="http://schemas.microsoft.com/office/drawing/2014/main" id="{62793FB1-1E00-6CA3-FDF6-736385C3085F}"/>
            </a:ext>
          </a:extLst>
        </cdr:cNvPr>
        <cdr:cNvSpPr txBox="1"/>
      </cdr:nvSpPr>
      <cdr:spPr>
        <a:xfrm xmlns:a="http://schemas.openxmlformats.org/drawingml/2006/main">
          <a:off x="876300" y="16078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solidFill>
                <a:srgbClr val="FF0000"/>
              </a:solidFill>
            </a:rPr>
            <a:t>Below Threshold</a:t>
          </a:r>
        </a:p>
      </cdr:txBody>
    </cdr:sp>
  </cdr:relSizeAnchor>
  <cdr:relSizeAnchor xmlns:cdr="http://schemas.openxmlformats.org/drawingml/2006/chartDrawing">
    <cdr:from>
      <cdr:x>0.57186</cdr:x>
      <cdr:y>0.53502</cdr:y>
    </cdr:from>
    <cdr:to>
      <cdr:x>0.7515</cdr:x>
      <cdr:y>0.84232</cdr:y>
    </cdr:to>
    <cdr:sp macro="" textlink="">
      <cdr:nvSpPr>
        <cdr:cNvPr id="3" name="TextBox 2">
          <a:extLst xmlns:a="http://schemas.openxmlformats.org/drawingml/2006/main">
            <a:ext uri="{FF2B5EF4-FFF2-40B4-BE49-F238E27FC236}">
              <a16:creationId xmlns:a16="http://schemas.microsoft.com/office/drawing/2014/main" id="{7C332C7E-FE58-C959-8FF0-E03C923AB31F}"/>
            </a:ext>
          </a:extLst>
        </cdr:cNvPr>
        <cdr:cNvSpPr txBox="1"/>
      </cdr:nvSpPr>
      <cdr:spPr>
        <a:xfrm xmlns:a="http://schemas.openxmlformats.org/drawingml/2006/main">
          <a:off x="5973710" y="2604654"/>
          <a:ext cx="1876558" cy="14960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solidFill>
                <a:srgbClr val="FF0000"/>
              </a:solidFill>
            </a:rPr>
            <a:t>Financial</a:t>
          </a:r>
          <a:r>
            <a:rPr lang="en-IN" sz="1100" b="1" kern="1200" baseline="0">
              <a:solidFill>
                <a:srgbClr val="FF0000"/>
              </a:solidFill>
            </a:rPr>
            <a:t> Material</a:t>
          </a:r>
        </a:p>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8</xdr:col>
      <xdr:colOff>535094</xdr:colOff>
      <xdr:row>14</xdr:row>
      <xdr:rowOff>169334</xdr:rowOff>
    </xdr:from>
    <xdr:to>
      <xdr:col>18</xdr:col>
      <xdr:colOff>474135</xdr:colOff>
      <xdr:row>41</xdr:row>
      <xdr:rowOff>8467</xdr:rowOff>
    </xdr:to>
    <xdr:graphicFrame macro="">
      <xdr:nvGraphicFramePr>
        <xdr:cNvPr id="2" name="Chart 1">
          <a:extLst>
            <a:ext uri="{FF2B5EF4-FFF2-40B4-BE49-F238E27FC236}">
              <a16:creationId xmlns:a16="http://schemas.microsoft.com/office/drawing/2014/main" id="{2F712986-B958-4AAF-A84A-8EDA27EBB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14</xdr:col>
      <xdr:colOff>391161</xdr:colOff>
      <xdr:row>16</xdr:row>
      <xdr:rowOff>97366</xdr:rowOff>
    </xdr:from>
    <xdr:ext cx="1140377" cy="264560"/>
    <xdr:sp macro="" textlink="">
      <xdr:nvSpPr>
        <xdr:cNvPr id="4" name="TextBox 3">
          <a:extLst>
            <a:ext uri="{FF2B5EF4-FFF2-40B4-BE49-F238E27FC236}">
              <a16:creationId xmlns:a16="http://schemas.microsoft.com/office/drawing/2014/main" id="{B55A50AD-8931-8072-1A06-7C69A0F81521}"/>
            </a:ext>
          </a:extLst>
        </xdr:cNvPr>
        <xdr:cNvSpPr txBox="1"/>
      </xdr:nvSpPr>
      <xdr:spPr>
        <a:xfrm>
          <a:off x="18408228" y="3128433"/>
          <a:ext cx="114037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FF0000"/>
              </a:solidFill>
            </a:rPr>
            <a:t>Double Material</a:t>
          </a:r>
        </a:p>
      </xdr:txBody>
    </xdr:sp>
    <xdr:clientData/>
  </xdr:oneCellAnchor>
  <xdr:oneCellAnchor>
    <xdr:from>
      <xdr:col>10</xdr:col>
      <xdr:colOff>201506</xdr:colOff>
      <xdr:row>16</xdr:row>
      <xdr:rowOff>107526</xdr:rowOff>
    </xdr:from>
    <xdr:ext cx="1124219" cy="264560"/>
    <xdr:sp macro="" textlink="">
      <xdr:nvSpPr>
        <xdr:cNvPr id="5" name="TextBox 4">
          <a:extLst>
            <a:ext uri="{FF2B5EF4-FFF2-40B4-BE49-F238E27FC236}">
              <a16:creationId xmlns:a16="http://schemas.microsoft.com/office/drawing/2014/main" id="{6D2A5F5E-ACA3-DF71-38B3-9762E4FD3BBB}"/>
            </a:ext>
          </a:extLst>
        </xdr:cNvPr>
        <xdr:cNvSpPr txBox="1"/>
      </xdr:nvSpPr>
      <xdr:spPr>
        <a:xfrm>
          <a:off x="14239239" y="3138593"/>
          <a:ext cx="11242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FF0000"/>
              </a:solidFill>
            </a:rPr>
            <a:t>Impact Material</a:t>
          </a:r>
        </a:p>
      </xdr:txBody>
    </xdr:sp>
    <xdr:clientData/>
  </xdr:oneCellAnchor>
</xdr:wsDr>
</file>

<file path=xl/drawings/drawing4.xml><?xml version="1.0" encoding="utf-8"?>
<c:userShapes xmlns:c="http://schemas.openxmlformats.org/drawingml/2006/chart">
  <cdr:relSizeAnchor xmlns:cdr="http://schemas.openxmlformats.org/drawingml/2006/chartDrawing">
    <cdr:from>
      <cdr:x>0.17216</cdr:x>
      <cdr:y>0.54033</cdr:y>
    </cdr:from>
    <cdr:to>
      <cdr:x>0.3518</cdr:x>
      <cdr:y>0.84763</cdr:y>
    </cdr:to>
    <cdr:sp macro="" textlink="">
      <cdr:nvSpPr>
        <cdr:cNvPr id="2" name="TextBox 1">
          <a:extLst xmlns:a="http://schemas.openxmlformats.org/drawingml/2006/main">
            <a:ext uri="{FF2B5EF4-FFF2-40B4-BE49-F238E27FC236}">
              <a16:creationId xmlns:a16="http://schemas.microsoft.com/office/drawing/2014/main" id="{62793FB1-1E00-6CA3-FDF6-736385C3085F}"/>
            </a:ext>
          </a:extLst>
        </cdr:cNvPr>
        <cdr:cNvSpPr txBox="1"/>
      </cdr:nvSpPr>
      <cdr:spPr>
        <a:xfrm xmlns:a="http://schemas.openxmlformats.org/drawingml/2006/main">
          <a:off x="876300" y="16078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solidFill>
                <a:srgbClr val="FF0000"/>
              </a:solidFill>
            </a:rPr>
            <a:t>Below Threshold</a:t>
          </a:r>
        </a:p>
      </cdr:txBody>
    </cdr:sp>
  </cdr:relSizeAnchor>
  <cdr:relSizeAnchor xmlns:cdr="http://schemas.openxmlformats.org/drawingml/2006/chartDrawing">
    <cdr:from>
      <cdr:x>0.57186</cdr:x>
      <cdr:y>0.53502</cdr:y>
    </cdr:from>
    <cdr:to>
      <cdr:x>0.7515</cdr:x>
      <cdr:y>0.84232</cdr:y>
    </cdr:to>
    <cdr:sp macro="" textlink="">
      <cdr:nvSpPr>
        <cdr:cNvPr id="3" name="TextBox 2">
          <a:extLst xmlns:a="http://schemas.openxmlformats.org/drawingml/2006/main">
            <a:ext uri="{FF2B5EF4-FFF2-40B4-BE49-F238E27FC236}">
              <a16:creationId xmlns:a16="http://schemas.microsoft.com/office/drawing/2014/main" id="{7C332C7E-FE58-C959-8FF0-E03C923AB31F}"/>
            </a:ext>
          </a:extLst>
        </cdr:cNvPr>
        <cdr:cNvSpPr txBox="1"/>
      </cdr:nvSpPr>
      <cdr:spPr>
        <a:xfrm xmlns:a="http://schemas.openxmlformats.org/drawingml/2006/main">
          <a:off x="5973710" y="2604654"/>
          <a:ext cx="1876558" cy="14960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solidFill>
                <a:srgbClr val="FF0000"/>
              </a:solidFill>
            </a:rPr>
            <a:t>Financial</a:t>
          </a:r>
          <a:r>
            <a:rPr lang="en-IN" sz="1100" b="1" kern="1200" baseline="0">
              <a:solidFill>
                <a:srgbClr val="FF0000"/>
              </a:solidFill>
            </a:rPr>
            <a:t> Material</a:t>
          </a:r>
        </a:p>
        <a:p xmlns:a="http://schemas.openxmlformats.org/drawingml/2006/main">
          <a:endParaRPr lang="en-IN" sz="1100" kern="120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Q44"/>
  <sheetViews>
    <sheetView showGridLines="0" tabSelected="1" zoomScale="99" workbookViewId="0">
      <selection sqref="A1:O42"/>
    </sheetView>
  </sheetViews>
  <sheetFormatPr defaultRowHeight="14.4" x14ac:dyDescent="0.3"/>
  <cols>
    <col min="1" max="1" width="8.88671875" customWidth="1"/>
    <col min="2" max="2" width="9.5546875" customWidth="1"/>
    <col min="3" max="7" width="8.88671875" customWidth="1"/>
    <col min="8" max="8" width="11.109375" customWidth="1"/>
    <col min="9" max="9" width="8.88671875" customWidth="1"/>
    <col min="10" max="10" width="16.21875" customWidth="1"/>
    <col min="11" max="11" width="11" customWidth="1"/>
    <col min="12" max="15" width="8.88671875" customWidth="1"/>
    <col min="16" max="16" width="2.44140625" customWidth="1"/>
    <col min="17" max="17" width="1.33203125" customWidth="1"/>
    <col min="18" max="18" width="8.88671875" customWidth="1"/>
  </cols>
  <sheetData>
    <row r="1" spans="1:17" ht="18" customHeight="1" x14ac:dyDescent="0.35">
      <c r="A1" s="118" t="s">
        <v>0</v>
      </c>
      <c r="B1" s="130"/>
      <c r="C1" s="130"/>
      <c r="D1" s="130"/>
      <c r="E1" s="130"/>
      <c r="F1" s="130"/>
      <c r="G1" s="130"/>
      <c r="H1" s="130"/>
      <c r="I1" s="130"/>
      <c r="J1" s="130"/>
      <c r="K1" s="130"/>
      <c r="L1" s="130"/>
      <c r="M1" s="130"/>
      <c r="N1" s="130"/>
      <c r="O1" s="131"/>
      <c r="Q1" s="49"/>
    </row>
    <row r="2" spans="1:17" ht="15.6" customHeight="1" x14ac:dyDescent="0.3">
      <c r="A2" s="141" t="s">
        <v>1</v>
      </c>
      <c r="B2" s="130"/>
      <c r="C2" s="130"/>
      <c r="D2" s="130"/>
      <c r="E2" s="130"/>
      <c r="F2" s="130"/>
      <c r="G2" s="130"/>
      <c r="H2" s="130"/>
      <c r="I2" s="130"/>
      <c r="J2" s="130"/>
      <c r="K2" s="130"/>
      <c r="L2" s="130"/>
      <c r="M2" s="130"/>
      <c r="N2" s="130"/>
      <c r="O2" s="131"/>
      <c r="Q2" s="49"/>
    </row>
    <row r="3" spans="1:17" x14ac:dyDescent="0.3">
      <c r="Q3" s="49"/>
    </row>
    <row r="4" spans="1:17" x14ac:dyDescent="0.3">
      <c r="A4" s="136" t="s">
        <v>2</v>
      </c>
      <c r="B4" s="130"/>
      <c r="C4" s="131"/>
      <c r="D4" s="136" t="s">
        <v>3</v>
      </c>
      <c r="E4" s="130"/>
      <c r="F4" s="131"/>
      <c r="G4" s="136" t="s">
        <v>4</v>
      </c>
      <c r="H4" s="130"/>
      <c r="I4" s="131"/>
      <c r="J4" s="136" t="s">
        <v>5</v>
      </c>
      <c r="K4" s="130"/>
      <c r="L4" s="131"/>
      <c r="M4" s="136" t="s">
        <v>6</v>
      </c>
      <c r="N4" s="130"/>
      <c r="O4" s="131"/>
      <c r="Q4" s="49"/>
    </row>
    <row r="5" spans="1:17" x14ac:dyDescent="0.3">
      <c r="A5" s="120">
        <f>COUNTA('DMA Matrix'!A5:A34)</f>
        <v>30</v>
      </c>
      <c r="B5" s="121"/>
      <c r="C5" s="122"/>
      <c r="D5" s="120">
        <f>COUNTIF('DMA Matrix'!H5:H34,"Double Material")</f>
        <v>22</v>
      </c>
      <c r="E5" s="121"/>
      <c r="F5" s="122"/>
      <c r="G5" s="120">
        <f>COUNTIF('DMA Matrix'!H5:H34,"Impact Material")</f>
        <v>7</v>
      </c>
      <c r="H5" s="121"/>
      <c r="I5" s="122"/>
      <c r="J5" s="120">
        <f>COUNTIF('DMA Matrix'!H5:H34,"Financially Material")</f>
        <v>1</v>
      </c>
      <c r="K5" s="121"/>
      <c r="L5" s="122"/>
      <c r="M5" s="120">
        <f>COUNTIF('DMA Matrix'!H5:H34,"Below Threshold")</f>
        <v>0</v>
      </c>
      <c r="N5" s="121"/>
      <c r="O5" s="122"/>
      <c r="Q5" s="49"/>
    </row>
    <row r="6" spans="1:17" x14ac:dyDescent="0.3">
      <c r="A6" s="123"/>
      <c r="B6" s="124"/>
      <c r="C6" s="125"/>
      <c r="D6" s="123"/>
      <c r="E6" s="124"/>
      <c r="F6" s="125"/>
      <c r="G6" s="123"/>
      <c r="H6" s="124"/>
      <c r="I6" s="125"/>
      <c r="J6" s="123"/>
      <c r="K6" s="124"/>
      <c r="L6" s="125"/>
      <c r="M6" s="123"/>
      <c r="N6" s="124"/>
      <c r="O6" s="125"/>
      <c r="Q6" s="49"/>
    </row>
    <row r="7" spans="1:17" x14ac:dyDescent="0.3">
      <c r="A7" s="126"/>
      <c r="B7" s="127"/>
      <c r="C7" s="128"/>
      <c r="D7" s="126"/>
      <c r="E7" s="127"/>
      <c r="F7" s="128"/>
      <c r="G7" s="126"/>
      <c r="H7" s="127"/>
      <c r="I7" s="128"/>
      <c r="J7" s="126"/>
      <c r="K7" s="127"/>
      <c r="L7" s="128"/>
      <c r="M7" s="126"/>
      <c r="N7" s="127"/>
      <c r="O7" s="128"/>
      <c r="Q7" s="49"/>
    </row>
    <row r="8" spans="1:17" x14ac:dyDescent="0.3">
      <c r="Q8" s="49"/>
    </row>
    <row r="9" spans="1:17" x14ac:dyDescent="0.3">
      <c r="J9" s="50" t="s">
        <v>7</v>
      </c>
      <c r="K9" s="50"/>
      <c r="Q9" s="49"/>
    </row>
    <row r="10" spans="1:17" x14ac:dyDescent="0.3">
      <c r="J10" s="6" t="s">
        <v>8</v>
      </c>
      <c r="K10" s="43">
        <f>COUNTIFS('DMA Matrix'!B5:B34,"Environmental",'DMA Matrix'!H5:H34,"Double Material")</f>
        <v>6</v>
      </c>
      <c r="Q10" s="49"/>
    </row>
    <row r="11" spans="1:17" x14ac:dyDescent="0.3">
      <c r="J11" s="6" t="s">
        <v>9</v>
      </c>
      <c r="K11" s="43">
        <f>COUNTIFS('DMA Matrix'!B5:B34,"Social",'DMA Matrix'!H5:H34,"Double Material")</f>
        <v>7</v>
      </c>
      <c r="Q11" s="49"/>
    </row>
    <row r="12" spans="1:17" x14ac:dyDescent="0.3">
      <c r="J12" s="6" t="s">
        <v>10</v>
      </c>
      <c r="K12" s="43">
        <f>COUNTIFS('DMA Matrix'!B5:B34,"Governance",'DMA Matrix'!H5:H34,"Double Material")</f>
        <v>9</v>
      </c>
      <c r="Q12" s="49"/>
    </row>
    <row r="13" spans="1:17" x14ac:dyDescent="0.3">
      <c r="Q13" s="49"/>
    </row>
    <row r="14" spans="1:17" x14ac:dyDescent="0.3">
      <c r="Q14" s="49"/>
    </row>
    <row r="15" spans="1:17" x14ac:dyDescent="0.3">
      <c r="Q15" s="49"/>
    </row>
    <row r="16" spans="1:17" x14ac:dyDescent="0.3">
      <c r="Q16" s="49"/>
    </row>
    <row r="17" spans="1:17" x14ac:dyDescent="0.3">
      <c r="Q17" s="49"/>
    </row>
    <row r="18" spans="1:17" x14ac:dyDescent="0.3">
      <c r="Q18" s="49"/>
    </row>
    <row r="19" spans="1:17" x14ac:dyDescent="0.3">
      <c r="Q19" s="49"/>
    </row>
    <row r="20" spans="1:17" x14ac:dyDescent="0.3">
      <c r="Q20" s="49"/>
    </row>
    <row r="21" spans="1:17" x14ac:dyDescent="0.3">
      <c r="Q21" s="49"/>
    </row>
    <row r="22" spans="1:17" x14ac:dyDescent="0.3">
      <c r="Q22" s="49"/>
    </row>
    <row r="23" spans="1:17" x14ac:dyDescent="0.3">
      <c r="Q23" s="49"/>
    </row>
    <row r="24" spans="1:17" x14ac:dyDescent="0.3">
      <c r="Q24" s="49"/>
    </row>
    <row r="25" spans="1:17" x14ac:dyDescent="0.3">
      <c r="Q25" s="49"/>
    </row>
    <row r="26" spans="1:17" x14ac:dyDescent="0.3">
      <c r="Q26" s="49"/>
    </row>
    <row r="27" spans="1:17" ht="15.6" customHeight="1" x14ac:dyDescent="0.3">
      <c r="A27" s="138" t="s">
        <v>11</v>
      </c>
      <c r="B27" s="130"/>
      <c r="C27" s="130"/>
      <c r="D27" s="130"/>
      <c r="E27" s="130"/>
      <c r="F27" s="130"/>
      <c r="G27" s="130"/>
      <c r="H27" s="131"/>
      <c r="J27" s="138" t="s">
        <v>12</v>
      </c>
      <c r="K27" s="130"/>
      <c r="L27" s="130"/>
      <c r="M27" s="130"/>
      <c r="N27" s="130"/>
      <c r="O27" s="131"/>
      <c r="Q27" s="49"/>
    </row>
    <row r="28" spans="1:17" ht="30.6" customHeight="1" x14ac:dyDescent="0.3">
      <c r="A28" s="129" t="str">
        <f>"01 | Broad ESG Materiality — "&amp;IF(M5=0,"All "&amp;A5&amp;" assessed ESG topics",(A5-M5)&amp;" of "&amp;A5&amp;" assessed ESG topics")&amp;" cross at least one materiality threshold."</f>
        <v>01 | Broad ESG Materiality — All 30 assessed ESG topics cross at least one materiality threshold.</v>
      </c>
      <c r="B28" s="130"/>
      <c r="C28" s="130"/>
      <c r="D28" s="130"/>
      <c r="E28" s="130"/>
      <c r="F28" s="130"/>
      <c r="G28" s="130"/>
      <c r="H28" s="131"/>
      <c r="J28" s="137" t="s">
        <v>13</v>
      </c>
      <c r="K28" s="130"/>
      <c r="L28" s="130"/>
      <c r="M28" s="130"/>
      <c r="N28" s="130"/>
      <c r="O28" s="131"/>
      <c r="Q28" s="49"/>
    </row>
    <row r="29" spans="1:17" ht="30.6" customHeight="1" x14ac:dyDescent="0.3">
      <c r="A29" s="129" t="str">
        <f>"02 | Strong Double Materiality — "&amp;D5&amp;" of "&amp;A5&amp;" topics ("&amp;TEXT(D5/A5,"0.0%")&amp;") are material from both impact and financial perspectives."</f>
        <v>02 | Strong Double Materiality — 22 of 30 topics (73.3%) are material from both impact and financial perspectives.</v>
      </c>
      <c r="B29" s="130"/>
      <c r="C29" s="130"/>
      <c r="D29" s="130"/>
      <c r="E29" s="130"/>
      <c r="F29" s="130"/>
      <c r="G29" s="130"/>
      <c r="H29" s="131"/>
      <c r="J29" s="137" t="s">
        <v>14</v>
      </c>
      <c r="K29" s="130"/>
      <c r="L29" s="130"/>
      <c r="M29" s="130"/>
      <c r="N29" s="130"/>
      <c r="O29" s="131"/>
      <c r="Q29" s="49"/>
    </row>
    <row r="30" spans="1:17" ht="29.4" customHeight="1" x14ac:dyDescent="0.3">
      <c r="A30" s="129" t="str">
        <f>"03 | Governance Concentration — "&amp;K12&amp;" of "&amp;COUNTIF('DMA Matrix'!B5:B34,"Governance")&amp;" governance topics are classified as Double Material."</f>
        <v>03 | Governance Concentration — 9 of 10 governance topics are classified as Double Material.</v>
      </c>
      <c r="B30" s="130"/>
      <c r="C30" s="130"/>
      <c r="D30" s="130"/>
      <c r="E30" s="130"/>
      <c r="F30" s="130"/>
      <c r="G30" s="130"/>
      <c r="H30" s="131"/>
      <c r="J30" s="137" t="s">
        <v>15</v>
      </c>
      <c r="K30" s="130"/>
      <c r="L30" s="130"/>
      <c r="M30" s="130"/>
      <c r="N30" s="130"/>
      <c r="O30" s="131"/>
      <c r="Q30" s="49"/>
    </row>
    <row r="31" spans="1:17" ht="27" customHeight="1" x14ac:dyDescent="0.3">
      <c r="A31" s="129" t="str">
        <f>"04 | Benchmarked — Alignment Index "&amp;TEXT(Benchmark!C21,"0%")&amp;" and top-band recall "&amp;TEXT(Benchmark!C22,"0%")&amp;" against Tata Power's official FY26 DMA (Grade "&amp;Benchmark!C24&amp;")."</f>
        <v>04 | Benchmarked — Alignment Index 85% and top-band recall 60% against Tata Power's official FY26 DMA (Grade B: Moderate).</v>
      </c>
      <c r="B31" s="139"/>
      <c r="C31" s="139"/>
      <c r="D31" s="139"/>
      <c r="E31" s="139"/>
      <c r="F31" s="139"/>
      <c r="G31" s="139"/>
      <c r="H31" s="140"/>
      <c r="J31" s="137" t="s">
        <v>16</v>
      </c>
      <c r="K31" s="130"/>
      <c r="L31" s="130"/>
      <c r="M31" s="130"/>
      <c r="N31" s="130"/>
      <c r="O31" s="131"/>
      <c r="Q31" s="49"/>
    </row>
    <row r="32" spans="1:17" x14ac:dyDescent="0.3">
      <c r="J32" s="137" t="s">
        <v>17</v>
      </c>
      <c r="K32" s="121"/>
      <c r="L32" s="121"/>
      <c r="M32" s="121"/>
      <c r="N32" s="121"/>
      <c r="O32" s="122"/>
      <c r="Q32" s="49"/>
    </row>
    <row r="33" spans="1:17" ht="15.6" customHeight="1" x14ac:dyDescent="0.3">
      <c r="A33" s="142" t="s">
        <v>18</v>
      </c>
      <c r="B33" s="130"/>
      <c r="C33" s="130"/>
      <c r="D33" s="130"/>
      <c r="E33" s="130"/>
      <c r="F33" s="130"/>
      <c r="G33" s="130"/>
      <c r="H33" s="131"/>
      <c r="J33" s="126"/>
      <c r="K33" s="127"/>
      <c r="L33" s="127"/>
      <c r="M33" s="127"/>
      <c r="N33" s="127"/>
      <c r="O33" s="128"/>
      <c r="Q33" s="49"/>
    </row>
    <row r="34" spans="1:17" x14ac:dyDescent="0.3">
      <c r="A34" s="48" t="s">
        <v>19</v>
      </c>
      <c r="B34" s="134" t="s">
        <v>20</v>
      </c>
      <c r="C34" s="130"/>
      <c r="D34" s="131"/>
      <c r="E34" s="134" t="s">
        <v>21</v>
      </c>
      <c r="F34" s="130"/>
      <c r="G34" s="130"/>
      <c r="H34" s="131"/>
      <c r="Q34" s="49"/>
    </row>
    <row r="35" spans="1:17" x14ac:dyDescent="0.3">
      <c r="A35" s="45">
        <v>1</v>
      </c>
      <c r="B35" s="133" t="s">
        <v>22</v>
      </c>
      <c r="C35" s="130"/>
      <c r="D35" s="131"/>
      <c r="E35" s="133" t="s">
        <v>23</v>
      </c>
      <c r="F35" s="130"/>
      <c r="G35" s="130"/>
      <c r="H35" s="131"/>
      <c r="Q35" s="49"/>
    </row>
    <row r="36" spans="1:17" x14ac:dyDescent="0.3">
      <c r="A36" s="45">
        <v>2</v>
      </c>
      <c r="B36" s="133" t="s">
        <v>24</v>
      </c>
      <c r="C36" s="130"/>
      <c r="D36" s="131"/>
      <c r="E36" s="133" t="s">
        <v>25</v>
      </c>
      <c r="F36" s="130"/>
      <c r="G36" s="130"/>
      <c r="H36" s="131"/>
      <c r="Q36" s="49"/>
    </row>
    <row r="37" spans="1:17" x14ac:dyDescent="0.3">
      <c r="A37" s="45">
        <v>3</v>
      </c>
      <c r="B37" s="133" t="s">
        <v>26</v>
      </c>
      <c r="C37" s="130"/>
      <c r="D37" s="131"/>
      <c r="E37" s="133">
        <f>A5</f>
        <v>30</v>
      </c>
      <c r="F37" s="130"/>
      <c r="G37" s="130"/>
      <c r="H37" s="131"/>
      <c r="Q37" s="49"/>
    </row>
    <row r="38" spans="1:17" x14ac:dyDescent="0.3">
      <c r="A38" s="45">
        <v>4</v>
      </c>
      <c r="B38" s="133" t="s">
        <v>27</v>
      </c>
      <c r="C38" s="130"/>
      <c r="D38" s="131"/>
      <c r="E38" s="133" t="s">
        <v>28</v>
      </c>
      <c r="F38" s="130"/>
      <c r="G38" s="130"/>
      <c r="H38" s="131"/>
      <c r="Q38" s="49"/>
    </row>
    <row r="39" spans="1:17" x14ac:dyDescent="0.3">
      <c r="A39" s="45">
        <v>5</v>
      </c>
      <c r="B39" s="133" t="s">
        <v>29</v>
      </c>
      <c r="C39" s="130"/>
      <c r="D39" s="131"/>
      <c r="E39" s="133" t="s">
        <v>30</v>
      </c>
      <c r="F39" s="130"/>
      <c r="G39" s="130"/>
      <c r="H39" s="131"/>
      <c r="Q39" s="49"/>
    </row>
    <row r="40" spans="1:17" x14ac:dyDescent="0.3">
      <c r="A40" s="45">
        <v>6</v>
      </c>
      <c r="B40" s="133" t="s">
        <v>31</v>
      </c>
      <c r="C40" s="130"/>
      <c r="D40" s="131"/>
      <c r="E40" s="133" t="s">
        <v>32</v>
      </c>
      <c r="F40" s="130"/>
      <c r="G40" s="130"/>
      <c r="H40" s="131"/>
      <c r="Q40" s="49"/>
    </row>
    <row r="41" spans="1:17" x14ac:dyDescent="0.3">
      <c r="A41" s="56">
        <v>7</v>
      </c>
      <c r="B41" s="132" t="s">
        <v>33</v>
      </c>
      <c r="C41" s="130"/>
      <c r="D41" s="131"/>
      <c r="E41" s="132" t="str">
        <f>"Alignment "&amp;TEXT(Benchmark!C21,"0%")&amp;" | Grade "&amp;LEFT(Benchmark!C24,1)&amp;" | Workbook sync: "</f>
        <v xml:space="preserve">Alignment 85% | Grade B | Workbook sync: </v>
      </c>
      <c r="F41" s="130"/>
      <c r="G41" s="130"/>
      <c r="H41" s="131"/>
      <c r="Q41" s="49"/>
    </row>
    <row r="42" spans="1:17" ht="15.6" customHeight="1" x14ac:dyDescent="0.3">
      <c r="A42" s="135" t="s">
        <v>34</v>
      </c>
      <c r="B42" s="124"/>
      <c r="C42" s="124"/>
      <c r="D42" s="124"/>
      <c r="E42" s="124"/>
      <c r="F42" s="124"/>
      <c r="G42" s="124"/>
      <c r="H42" s="124"/>
      <c r="I42" s="124"/>
      <c r="J42" s="124"/>
      <c r="K42" s="124"/>
      <c r="L42" s="124"/>
      <c r="M42" s="124"/>
      <c r="N42" s="124"/>
      <c r="O42" s="124"/>
      <c r="Q42" s="49"/>
    </row>
    <row r="43" spans="1:17" x14ac:dyDescent="0.3">
      <c r="A43" s="47"/>
      <c r="B43" s="47"/>
      <c r="C43" s="47"/>
      <c r="D43" s="47"/>
      <c r="E43" s="47"/>
      <c r="F43" s="47"/>
      <c r="G43" s="47"/>
      <c r="H43" s="47"/>
      <c r="Q43" s="49"/>
    </row>
    <row r="44" spans="1:17" ht="5.4" customHeight="1" x14ac:dyDescent="0.3">
      <c r="A44" s="49"/>
      <c r="B44" s="49"/>
      <c r="C44" s="49"/>
      <c r="D44" s="49"/>
      <c r="E44" s="49"/>
      <c r="F44" s="49"/>
      <c r="G44" s="49"/>
      <c r="H44" s="49"/>
      <c r="I44" s="49"/>
      <c r="J44" s="49"/>
      <c r="K44" s="49"/>
      <c r="L44" s="49"/>
      <c r="M44" s="49"/>
      <c r="N44" s="49"/>
      <c r="O44" s="49"/>
      <c r="P44" s="49"/>
      <c r="Q44" s="49"/>
    </row>
  </sheetData>
  <mergeCells count="41">
    <mergeCell ref="A1:O1"/>
    <mergeCell ref="B39:D39"/>
    <mergeCell ref="A31:H31"/>
    <mergeCell ref="E36:H36"/>
    <mergeCell ref="E34:H34"/>
    <mergeCell ref="J28:O28"/>
    <mergeCell ref="J32:O33"/>
    <mergeCell ref="M5:O7"/>
    <mergeCell ref="A28:H28"/>
    <mergeCell ref="A2:O2"/>
    <mergeCell ref="A30:H30"/>
    <mergeCell ref="J27:O27"/>
    <mergeCell ref="J4:L4"/>
    <mergeCell ref="M4:O4"/>
    <mergeCell ref="A33:H33"/>
    <mergeCell ref="J29:O29"/>
    <mergeCell ref="A42:O42"/>
    <mergeCell ref="D4:F4"/>
    <mergeCell ref="B40:D40"/>
    <mergeCell ref="J31:O31"/>
    <mergeCell ref="D5:F7"/>
    <mergeCell ref="G4:I4"/>
    <mergeCell ref="A4:C4"/>
    <mergeCell ref="A27:H27"/>
    <mergeCell ref="A5:C7"/>
    <mergeCell ref="G5:I7"/>
    <mergeCell ref="B36:D36"/>
    <mergeCell ref="E39:H39"/>
    <mergeCell ref="B41:D41"/>
    <mergeCell ref="E35:H35"/>
    <mergeCell ref="B35:D35"/>
    <mergeCell ref="J30:O30"/>
    <mergeCell ref="J5:L7"/>
    <mergeCell ref="A29:H29"/>
    <mergeCell ref="E41:H41"/>
    <mergeCell ref="B38:D38"/>
    <mergeCell ref="E37:H37"/>
    <mergeCell ref="B34:D34"/>
    <mergeCell ref="B37:D37"/>
    <mergeCell ref="E38:H38"/>
    <mergeCell ref="E40:H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N35"/>
  <sheetViews>
    <sheetView zoomScaleNormal="100" zoomScaleSheetLayoutView="74" workbookViewId="0">
      <selection activeCell="C19" sqref="C19"/>
    </sheetView>
  </sheetViews>
  <sheetFormatPr defaultRowHeight="14.4" x14ac:dyDescent="0.3"/>
  <cols>
    <col min="1" max="1" width="18" bestFit="1" customWidth="1"/>
    <col min="2" max="2" width="41.88671875" customWidth="1"/>
    <col min="3" max="3" width="12.109375" customWidth="1"/>
    <col min="13" max="13" width="3.44140625" customWidth="1"/>
    <col min="14" max="14" width="0.88671875" customWidth="1"/>
  </cols>
  <sheetData>
    <row r="1" spans="1:14" ht="18" customHeight="1" x14ac:dyDescent="0.35">
      <c r="A1" s="155" t="s">
        <v>41</v>
      </c>
      <c r="B1" s="130"/>
      <c r="C1" s="130"/>
      <c r="D1" s="130"/>
      <c r="E1" s="130"/>
      <c r="F1" s="130"/>
      <c r="G1" s="130"/>
      <c r="H1" s="130"/>
      <c r="I1" s="130"/>
      <c r="J1" s="130"/>
      <c r="K1" s="130"/>
      <c r="L1" s="131"/>
      <c r="N1" s="83"/>
    </row>
    <row r="2" spans="1:14" ht="15.6" customHeight="1" x14ac:dyDescent="0.3">
      <c r="A2" s="154" t="s">
        <v>42</v>
      </c>
      <c r="B2" s="130"/>
      <c r="C2" s="130"/>
      <c r="D2" s="130"/>
      <c r="E2" s="130"/>
      <c r="F2" s="130"/>
      <c r="G2" s="130"/>
      <c r="H2" s="130"/>
      <c r="I2" s="130"/>
      <c r="J2" s="130"/>
      <c r="K2" s="130"/>
      <c r="L2" s="131"/>
      <c r="N2" s="83"/>
    </row>
    <row r="3" spans="1:14" x14ac:dyDescent="0.3">
      <c r="N3" s="83"/>
    </row>
    <row r="4" spans="1:14" ht="18" customHeight="1" x14ac:dyDescent="0.3">
      <c r="A4" s="147" t="s">
        <v>882</v>
      </c>
      <c r="B4" s="130"/>
      <c r="C4" s="130"/>
      <c r="D4" s="130"/>
      <c r="E4" s="130"/>
      <c r="F4" s="130"/>
      <c r="G4" s="130"/>
      <c r="H4" s="130"/>
      <c r="I4" s="130"/>
      <c r="J4" s="130"/>
      <c r="K4" s="130"/>
      <c r="L4" s="131"/>
      <c r="N4" s="83"/>
    </row>
    <row r="5" spans="1:14" ht="28.8" customHeight="1" x14ac:dyDescent="0.3">
      <c r="A5" s="53" t="s">
        <v>43</v>
      </c>
      <c r="B5" s="53" t="s">
        <v>44</v>
      </c>
      <c r="C5" s="144" t="s">
        <v>45</v>
      </c>
      <c r="D5" s="130"/>
      <c r="E5" s="130"/>
      <c r="F5" s="131"/>
      <c r="G5" s="144" t="s">
        <v>46</v>
      </c>
      <c r="H5" s="130"/>
      <c r="I5" s="131"/>
      <c r="J5" s="144" t="s">
        <v>47</v>
      </c>
      <c r="K5" s="130"/>
      <c r="L5" s="131"/>
      <c r="N5" s="83"/>
    </row>
    <row r="6" spans="1:14" x14ac:dyDescent="0.3">
      <c r="A6" s="149" t="s">
        <v>48</v>
      </c>
      <c r="B6" s="149" t="s">
        <v>49</v>
      </c>
      <c r="C6" s="149" t="s">
        <v>50</v>
      </c>
      <c r="D6" s="121"/>
      <c r="E6" s="121"/>
      <c r="F6" s="122"/>
      <c r="G6" s="149" t="s">
        <v>51</v>
      </c>
      <c r="H6" s="121"/>
      <c r="I6" s="122"/>
      <c r="J6" s="149" t="s">
        <v>52</v>
      </c>
      <c r="K6" s="121"/>
      <c r="L6" s="122"/>
      <c r="N6" s="83"/>
    </row>
    <row r="7" spans="1:14" x14ac:dyDescent="0.3">
      <c r="A7" s="150"/>
      <c r="B7" s="150"/>
      <c r="C7" s="126"/>
      <c r="D7" s="127"/>
      <c r="E7" s="127"/>
      <c r="F7" s="128"/>
      <c r="G7" s="126"/>
      <c r="H7" s="127"/>
      <c r="I7" s="128"/>
      <c r="J7" s="126"/>
      <c r="K7" s="127"/>
      <c r="L7" s="128"/>
      <c r="N7" s="83"/>
    </row>
    <row r="8" spans="1:14" x14ac:dyDescent="0.3">
      <c r="A8" s="46"/>
      <c r="B8" s="51"/>
      <c r="N8" s="83"/>
    </row>
    <row r="9" spans="1:14" x14ac:dyDescent="0.3">
      <c r="A9" s="158" t="s">
        <v>53</v>
      </c>
      <c r="B9" s="152"/>
      <c r="C9" s="152"/>
      <c r="D9" s="152"/>
      <c r="E9" s="152"/>
      <c r="F9" s="152"/>
      <c r="G9" s="152"/>
      <c r="H9" s="152"/>
      <c r="I9" s="152"/>
      <c r="J9" s="152"/>
      <c r="K9" s="152"/>
      <c r="L9" s="152"/>
      <c r="N9" s="83"/>
    </row>
    <row r="10" spans="1:14" x14ac:dyDescent="0.3">
      <c r="A10" s="46"/>
      <c r="B10" s="51"/>
      <c r="N10" s="83"/>
    </row>
    <row r="11" spans="1:14" x14ac:dyDescent="0.3">
      <c r="A11" s="46"/>
      <c r="B11" s="51"/>
      <c r="N11" s="83"/>
    </row>
    <row r="12" spans="1:14" ht="18" customHeight="1" x14ac:dyDescent="0.3">
      <c r="A12" s="147" t="s">
        <v>54</v>
      </c>
      <c r="B12" s="131"/>
      <c r="D12" s="147" t="s">
        <v>55</v>
      </c>
      <c r="E12" s="130"/>
      <c r="F12" s="130"/>
      <c r="G12" s="130"/>
      <c r="H12" s="130"/>
      <c r="I12" s="130"/>
      <c r="J12" s="130"/>
      <c r="K12" s="130"/>
      <c r="L12" s="131"/>
      <c r="N12" s="83"/>
    </row>
    <row r="13" spans="1:14" x14ac:dyDescent="0.3">
      <c r="A13" s="45"/>
      <c r="B13" s="45"/>
      <c r="D13" s="153" t="s">
        <v>56</v>
      </c>
      <c r="E13" s="121"/>
      <c r="F13" s="121"/>
      <c r="G13" s="121"/>
      <c r="H13" s="121"/>
      <c r="I13" s="121"/>
      <c r="J13" s="121"/>
      <c r="K13" s="121"/>
      <c r="L13" s="121"/>
      <c r="N13" s="83"/>
    </row>
    <row r="14" spans="1:14" x14ac:dyDescent="0.3">
      <c r="A14" s="148" t="s">
        <v>57</v>
      </c>
      <c r="B14" s="131"/>
      <c r="D14" s="127"/>
      <c r="E14" s="127"/>
      <c r="F14" s="127"/>
      <c r="G14" s="127"/>
      <c r="H14" s="127"/>
      <c r="I14" s="127"/>
      <c r="J14" s="127"/>
      <c r="K14" s="127"/>
      <c r="L14" s="127"/>
      <c r="N14" s="83"/>
    </row>
    <row r="15" spans="1:14" x14ac:dyDescent="0.3">
      <c r="A15" s="146" t="s">
        <v>58</v>
      </c>
      <c r="B15" s="131"/>
      <c r="D15" s="157" t="s">
        <v>59</v>
      </c>
      <c r="E15" s="131"/>
      <c r="F15" s="146" t="s">
        <v>60</v>
      </c>
      <c r="G15" s="130"/>
      <c r="H15" s="130"/>
      <c r="I15" s="130"/>
      <c r="J15" s="130"/>
      <c r="K15" s="130"/>
      <c r="L15" s="131"/>
      <c r="N15" s="83"/>
    </row>
    <row r="16" spans="1:14" x14ac:dyDescent="0.3">
      <c r="A16" s="148" t="s">
        <v>61</v>
      </c>
      <c r="B16" s="131"/>
      <c r="D16" s="52" t="s">
        <v>62</v>
      </c>
      <c r="E16" s="52"/>
      <c r="F16" s="146" t="s">
        <v>63</v>
      </c>
      <c r="G16" s="130"/>
      <c r="H16" s="130"/>
      <c r="I16" s="130"/>
      <c r="J16" s="130"/>
      <c r="K16" s="130"/>
      <c r="L16" s="131"/>
      <c r="N16" s="83"/>
    </row>
    <row r="17" spans="1:14" x14ac:dyDescent="0.3">
      <c r="A17" s="146" t="s">
        <v>64</v>
      </c>
      <c r="B17" s="131"/>
      <c r="D17" s="52" t="s">
        <v>65</v>
      </c>
      <c r="E17" s="52"/>
      <c r="F17" s="146" t="s">
        <v>66</v>
      </c>
      <c r="G17" s="130"/>
      <c r="H17" s="130"/>
      <c r="I17" s="130"/>
      <c r="J17" s="130"/>
      <c r="K17" s="130"/>
      <c r="L17" s="131"/>
      <c r="N17" s="83"/>
    </row>
    <row r="18" spans="1:14" x14ac:dyDescent="0.3">
      <c r="A18" s="148" t="s">
        <v>67</v>
      </c>
      <c r="B18" s="131"/>
      <c r="D18" s="52" t="s">
        <v>68</v>
      </c>
      <c r="E18" s="52"/>
      <c r="F18" s="146" t="s">
        <v>69</v>
      </c>
      <c r="G18" s="130"/>
      <c r="H18" s="130"/>
      <c r="I18" s="130"/>
      <c r="J18" s="130"/>
      <c r="K18" s="130"/>
      <c r="L18" s="131"/>
      <c r="N18" s="83"/>
    </row>
    <row r="19" spans="1:14" x14ac:dyDescent="0.3">
      <c r="A19" s="146" t="s">
        <v>70</v>
      </c>
      <c r="B19" s="131"/>
      <c r="D19" s="52" t="s">
        <v>71</v>
      </c>
      <c r="E19" s="52"/>
      <c r="F19" s="146" t="s">
        <v>72</v>
      </c>
      <c r="G19" s="130"/>
      <c r="H19" s="130"/>
      <c r="I19" s="130"/>
      <c r="J19" s="130"/>
      <c r="K19" s="130"/>
      <c r="L19" s="131"/>
      <c r="N19" s="83"/>
    </row>
    <row r="20" spans="1:14" x14ac:dyDescent="0.3">
      <c r="A20" s="148" t="s">
        <v>73</v>
      </c>
      <c r="B20" s="131"/>
      <c r="N20" s="83"/>
    </row>
    <row r="21" spans="1:14" ht="14.4" customHeight="1" x14ac:dyDescent="0.3">
      <c r="A21" s="146" t="s">
        <v>74</v>
      </c>
      <c r="B21" s="131"/>
      <c r="D21" s="151" t="s">
        <v>75</v>
      </c>
      <c r="E21" s="152"/>
      <c r="F21" s="152"/>
      <c r="G21" s="152"/>
      <c r="H21" s="152"/>
      <c r="I21" s="152"/>
      <c r="J21" s="152"/>
      <c r="K21" s="152"/>
      <c r="L21" s="152"/>
      <c r="N21" s="83"/>
    </row>
    <row r="22" spans="1:14" x14ac:dyDescent="0.3">
      <c r="D22" s="152"/>
      <c r="E22" s="152"/>
      <c r="F22" s="152"/>
      <c r="G22" s="152"/>
      <c r="H22" s="152"/>
      <c r="I22" s="152"/>
      <c r="J22" s="152"/>
      <c r="K22" s="152"/>
      <c r="L22" s="152"/>
      <c r="N22" s="83"/>
    </row>
    <row r="23" spans="1:14" x14ac:dyDescent="0.3">
      <c r="N23" s="83"/>
    </row>
    <row r="24" spans="1:14" x14ac:dyDescent="0.3">
      <c r="N24" s="83"/>
    </row>
    <row r="25" spans="1:14" x14ac:dyDescent="0.3">
      <c r="A25" s="54" t="s">
        <v>76</v>
      </c>
      <c r="N25" s="83"/>
    </row>
    <row r="26" spans="1:14" ht="14.4" customHeight="1" x14ac:dyDescent="0.3">
      <c r="A26" s="156" t="s">
        <v>77</v>
      </c>
      <c r="B26" s="121"/>
      <c r="C26" s="121"/>
      <c r="D26" s="121"/>
      <c r="E26" s="121"/>
      <c r="F26" s="121"/>
      <c r="G26" s="121"/>
      <c r="H26" s="121"/>
      <c r="I26" s="121"/>
      <c r="J26" s="121"/>
      <c r="K26" s="121"/>
      <c r="L26" s="122"/>
      <c r="N26" s="83"/>
    </row>
    <row r="27" spans="1:14" x14ac:dyDescent="0.3">
      <c r="A27" s="126"/>
      <c r="B27" s="127"/>
      <c r="C27" s="127"/>
      <c r="D27" s="127"/>
      <c r="E27" s="127"/>
      <c r="F27" s="127"/>
      <c r="G27" s="127"/>
      <c r="H27" s="127"/>
      <c r="I27" s="127"/>
      <c r="J27" s="127"/>
      <c r="K27" s="127"/>
      <c r="L27" s="128"/>
      <c r="N27" s="83"/>
    </row>
    <row r="28" spans="1:14" x14ac:dyDescent="0.3">
      <c r="N28" s="83"/>
    </row>
    <row r="29" spans="1:14" x14ac:dyDescent="0.3">
      <c r="A29" s="55" t="s">
        <v>78</v>
      </c>
      <c r="N29" s="83"/>
    </row>
    <row r="30" spans="1:14" x14ac:dyDescent="0.3">
      <c r="A30" s="146" t="s">
        <v>79</v>
      </c>
      <c r="B30" s="130"/>
      <c r="C30" s="130"/>
      <c r="D30" s="130"/>
      <c r="E30" s="130"/>
      <c r="F30" s="130"/>
      <c r="G30" s="130"/>
      <c r="H30" s="130"/>
      <c r="I30" s="130"/>
      <c r="J30" s="130"/>
      <c r="K30" s="130"/>
      <c r="L30" s="131"/>
      <c r="N30" s="83"/>
    </row>
    <row r="31" spans="1:14" x14ac:dyDescent="0.3">
      <c r="N31" s="83"/>
    </row>
    <row r="32" spans="1:14" x14ac:dyDescent="0.3">
      <c r="A32" s="145" t="s">
        <v>80</v>
      </c>
      <c r="B32" s="124"/>
      <c r="C32" s="124"/>
      <c r="D32" s="124"/>
      <c r="E32" s="124"/>
      <c r="F32" s="124"/>
      <c r="G32" s="124"/>
      <c r="H32" s="124"/>
      <c r="I32" s="124"/>
      <c r="J32" s="124"/>
      <c r="K32" s="124"/>
      <c r="L32" s="124"/>
      <c r="N32" s="83"/>
    </row>
    <row r="33" spans="1:14" x14ac:dyDescent="0.3">
      <c r="A33" s="143" t="s">
        <v>81</v>
      </c>
      <c r="B33" s="124"/>
      <c r="C33" s="124"/>
      <c r="D33" s="124"/>
      <c r="E33" s="124"/>
      <c r="F33" s="124"/>
      <c r="G33" s="124"/>
      <c r="H33" s="124"/>
      <c r="I33" s="124"/>
      <c r="J33" s="124"/>
      <c r="K33" s="124"/>
      <c r="L33" s="124"/>
      <c r="N33" s="83"/>
    </row>
    <row r="34" spans="1:14" ht="15" customHeight="1" x14ac:dyDescent="0.3">
      <c r="N34" s="83"/>
    </row>
    <row r="35" spans="1:14" ht="6" customHeight="1" x14ac:dyDescent="0.3">
      <c r="A35" s="83"/>
      <c r="B35" s="83"/>
      <c r="C35" s="83"/>
      <c r="D35" s="83"/>
      <c r="E35" s="83"/>
      <c r="F35" s="83"/>
      <c r="G35" s="83"/>
      <c r="H35" s="83"/>
      <c r="I35" s="83"/>
      <c r="J35" s="83"/>
      <c r="K35" s="83"/>
      <c r="L35" s="83"/>
      <c r="M35" s="83"/>
      <c r="N35" s="83"/>
    </row>
  </sheetData>
  <mergeCells count="34">
    <mergeCell ref="A26:L27"/>
    <mergeCell ref="G6:I7"/>
    <mergeCell ref="A20:B20"/>
    <mergeCell ref="D15:E15"/>
    <mergeCell ref="F17:L17"/>
    <mergeCell ref="A19:B19"/>
    <mergeCell ref="A21:B21"/>
    <mergeCell ref="J6:L7"/>
    <mergeCell ref="A14:B14"/>
    <mergeCell ref="A9:L9"/>
    <mergeCell ref="F15:L15"/>
    <mergeCell ref="A17:B17"/>
    <mergeCell ref="A2:L2"/>
    <mergeCell ref="A16:B16"/>
    <mergeCell ref="A4:L4"/>
    <mergeCell ref="A1:L1"/>
    <mergeCell ref="C6:F7"/>
    <mergeCell ref="J5:L5"/>
    <mergeCell ref="A33:L33"/>
    <mergeCell ref="G5:I5"/>
    <mergeCell ref="A32:L32"/>
    <mergeCell ref="F16:L16"/>
    <mergeCell ref="C5:F5"/>
    <mergeCell ref="D12:L12"/>
    <mergeCell ref="A18:B18"/>
    <mergeCell ref="B6:B7"/>
    <mergeCell ref="D21:L22"/>
    <mergeCell ref="F19:L19"/>
    <mergeCell ref="A12:B12"/>
    <mergeCell ref="F18:L18"/>
    <mergeCell ref="D13:L14"/>
    <mergeCell ref="A15:B15"/>
    <mergeCell ref="A6:A7"/>
    <mergeCell ref="A30:L3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F33"/>
  <sheetViews>
    <sheetView workbookViewId="0">
      <selection sqref="A1:F1"/>
    </sheetView>
  </sheetViews>
  <sheetFormatPr defaultColWidth="34.33203125" defaultRowHeight="14.4" x14ac:dyDescent="0.3"/>
  <cols>
    <col min="1" max="1" width="8.5546875" style="2" bestFit="1" customWidth="1"/>
    <col min="2" max="2" width="16.5546875" style="2" customWidth="1"/>
    <col min="3" max="3" width="29.6640625" style="2" bestFit="1" customWidth="1"/>
    <col min="4" max="4" width="28.88671875" style="2" bestFit="1" customWidth="1"/>
    <col min="5" max="5" width="69.77734375" style="2" customWidth="1"/>
    <col min="6" max="6" width="48.21875" style="2" bestFit="1" customWidth="1"/>
    <col min="7" max="7" width="34.33203125" style="2" customWidth="1"/>
    <col min="8" max="16384" width="34.33203125" style="2"/>
  </cols>
  <sheetData>
    <row r="1" spans="1:6" ht="21" customHeight="1" x14ac:dyDescent="0.3">
      <c r="A1" s="159" t="s">
        <v>82</v>
      </c>
      <c r="B1" s="160"/>
      <c r="C1" s="160"/>
      <c r="D1" s="160"/>
      <c r="E1" s="160"/>
      <c r="F1" s="160"/>
    </row>
    <row r="3" spans="1:6" ht="15.6" customHeight="1" x14ac:dyDescent="0.3">
      <c r="A3" s="84" t="s">
        <v>83</v>
      </c>
      <c r="B3" s="84" t="s">
        <v>84</v>
      </c>
      <c r="C3" s="84" t="s">
        <v>85</v>
      </c>
      <c r="D3" s="84" t="s">
        <v>86</v>
      </c>
      <c r="E3" s="85" t="s">
        <v>87</v>
      </c>
      <c r="F3" s="84" t="s">
        <v>88</v>
      </c>
    </row>
    <row r="4" spans="1:6" ht="28.8" customHeight="1" x14ac:dyDescent="0.3">
      <c r="A4" s="6" t="s">
        <v>89</v>
      </c>
      <c r="B4" s="6" t="s">
        <v>8</v>
      </c>
      <c r="C4" s="6" t="s">
        <v>90</v>
      </c>
      <c r="D4" s="6" t="s">
        <v>91</v>
      </c>
      <c r="E4" s="6" t="s">
        <v>92</v>
      </c>
      <c r="F4" s="6" t="s">
        <v>93</v>
      </c>
    </row>
    <row r="5" spans="1:6" ht="28.8" customHeight="1" x14ac:dyDescent="0.3">
      <c r="A5" s="6" t="s">
        <v>94</v>
      </c>
      <c r="B5" s="6" t="s">
        <v>8</v>
      </c>
      <c r="C5" s="6" t="s">
        <v>95</v>
      </c>
      <c r="D5" s="6" t="s">
        <v>96</v>
      </c>
      <c r="E5" s="6" t="s">
        <v>97</v>
      </c>
      <c r="F5" s="6" t="s">
        <v>98</v>
      </c>
    </row>
    <row r="6" spans="1:6" ht="28.8" customHeight="1" x14ac:dyDescent="0.3">
      <c r="A6" s="6" t="s">
        <v>99</v>
      </c>
      <c r="B6" s="6" t="s">
        <v>8</v>
      </c>
      <c r="C6" s="6" t="s">
        <v>100</v>
      </c>
      <c r="D6" s="6" t="s">
        <v>101</v>
      </c>
      <c r="E6" s="6" t="s">
        <v>102</v>
      </c>
      <c r="F6" s="6" t="s">
        <v>103</v>
      </c>
    </row>
    <row r="7" spans="1:6" ht="28.8" customHeight="1" x14ac:dyDescent="0.3">
      <c r="A7" s="6" t="s">
        <v>104</v>
      </c>
      <c r="B7" s="6" t="s">
        <v>8</v>
      </c>
      <c r="C7" s="6" t="s">
        <v>105</v>
      </c>
      <c r="D7" s="6" t="s">
        <v>106</v>
      </c>
      <c r="E7" s="6" t="s">
        <v>107</v>
      </c>
      <c r="F7" s="6" t="s">
        <v>108</v>
      </c>
    </row>
    <row r="8" spans="1:6" ht="28.8" customHeight="1" x14ac:dyDescent="0.3">
      <c r="A8" s="6" t="s">
        <v>109</v>
      </c>
      <c r="B8" s="6" t="s">
        <v>8</v>
      </c>
      <c r="C8" s="6" t="s">
        <v>110</v>
      </c>
      <c r="D8" s="6" t="s">
        <v>111</v>
      </c>
      <c r="E8" s="6" t="s">
        <v>112</v>
      </c>
      <c r="F8" s="6" t="s">
        <v>113</v>
      </c>
    </row>
    <row r="9" spans="1:6" ht="28.8" customHeight="1" x14ac:dyDescent="0.3">
      <c r="A9" s="6" t="s">
        <v>114</v>
      </c>
      <c r="B9" s="6" t="s">
        <v>8</v>
      </c>
      <c r="C9" s="6" t="s">
        <v>115</v>
      </c>
      <c r="D9" s="6" t="s">
        <v>116</v>
      </c>
      <c r="E9" s="6" t="s">
        <v>117</v>
      </c>
      <c r="F9" s="6" t="s">
        <v>118</v>
      </c>
    </row>
    <row r="10" spans="1:6" ht="28.8" customHeight="1" x14ac:dyDescent="0.3">
      <c r="A10" s="6" t="s">
        <v>119</v>
      </c>
      <c r="B10" s="6" t="s">
        <v>8</v>
      </c>
      <c r="C10" s="6" t="s">
        <v>120</v>
      </c>
      <c r="D10" s="6" t="s">
        <v>121</v>
      </c>
      <c r="E10" s="6" t="s">
        <v>122</v>
      </c>
      <c r="F10" s="6" t="s">
        <v>123</v>
      </c>
    </row>
    <row r="11" spans="1:6" ht="28.8" customHeight="1" x14ac:dyDescent="0.3">
      <c r="A11" s="6" t="s">
        <v>124</v>
      </c>
      <c r="B11" s="6" t="s">
        <v>8</v>
      </c>
      <c r="C11" s="6" t="s">
        <v>125</v>
      </c>
      <c r="D11" s="6" t="s">
        <v>126</v>
      </c>
      <c r="E11" s="6" t="s">
        <v>127</v>
      </c>
      <c r="F11" s="6" t="s">
        <v>108</v>
      </c>
    </row>
    <row r="12" spans="1:6" ht="28.8" customHeight="1" x14ac:dyDescent="0.3">
      <c r="A12" s="6" t="s">
        <v>128</v>
      </c>
      <c r="B12" s="6" t="s">
        <v>8</v>
      </c>
      <c r="C12" s="6" t="s">
        <v>129</v>
      </c>
      <c r="D12" s="6" t="s">
        <v>130</v>
      </c>
      <c r="E12" s="6" t="s">
        <v>131</v>
      </c>
      <c r="F12" s="6" t="s">
        <v>118</v>
      </c>
    </row>
    <row r="13" spans="1:6" ht="28.8" customHeight="1" x14ac:dyDescent="0.3">
      <c r="A13" s="6" t="s">
        <v>132</v>
      </c>
      <c r="B13" s="6" t="s">
        <v>8</v>
      </c>
      <c r="C13" s="6" t="s">
        <v>133</v>
      </c>
      <c r="D13" s="6" t="s">
        <v>134</v>
      </c>
      <c r="E13" s="6" t="s">
        <v>135</v>
      </c>
      <c r="F13" s="6" t="s">
        <v>136</v>
      </c>
    </row>
    <row r="14" spans="1:6" ht="28.8" customHeight="1" x14ac:dyDescent="0.3">
      <c r="A14" s="6" t="s">
        <v>137</v>
      </c>
      <c r="B14" s="6" t="s">
        <v>9</v>
      </c>
      <c r="C14" s="6" t="s">
        <v>138</v>
      </c>
      <c r="D14" s="6" t="s">
        <v>139</v>
      </c>
      <c r="E14" s="6" t="s">
        <v>140</v>
      </c>
      <c r="F14" s="6" t="s">
        <v>141</v>
      </c>
    </row>
    <row r="15" spans="1:6" ht="28.8" customHeight="1" x14ac:dyDescent="0.3">
      <c r="A15" s="6" t="s">
        <v>142</v>
      </c>
      <c r="B15" s="6" t="s">
        <v>9</v>
      </c>
      <c r="C15" s="6" t="s">
        <v>143</v>
      </c>
      <c r="D15" s="6" t="s">
        <v>144</v>
      </c>
      <c r="E15" s="6" t="s">
        <v>145</v>
      </c>
      <c r="F15" s="6" t="s">
        <v>146</v>
      </c>
    </row>
    <row r="16" spans="1:6" ht="28.8" customHeight="1" x14ac:dyDescent="0.3">
      <c r="A16" s="6" t="s">
        <v>147</v>
      </c>
      <c r="B16" s="6" t="s">
        <v>9</v>
      </c>
      <c r="C16" s="6" t="s">
        <v>148</v>
      </c>
      <c r="D16" s="6" t="s">
        <v>149</v>
      </c>
      <c r="E16" s="6" t="s">
        <v>150</v>
      </c>
      <c r="F16" s="6" t="s">
        <v>146</v>
      </c>
    </row>
    <row r="17" spans="1:6" ht="28.8" customHeight="1" x14ac:dyDescent="0.3">
      <c r="A17" s="6" t="s">
        <v>151</v>
      </c>
      <c r="B17" s="6" t="s">
        <v>9</v>
      </c>
      <c r="C17" s="6" t="s">
        <v>152</v>
      </c>
      <c r="D17" s="6" t="s">
        <v>153</v>
      </c>
      <c r="E17" s="6" t="s">
        <v>154</v>
      </c>
      <c r="F17" s="6" t="s">
        <v>155</v>
      </c>
    </row>
    <row r="18" spans="1:6" ht="21.6" customHeight="1" x14ac:dyDescent="0.3">
      <c r="A18" s="6" t="s">
        <v>156</v>
      </c>
      <c r="B18" s="6" t="s">
        <v>9</v>
      </c>
      <c r="C18" s="6" t="s">
        <v>157</v>
      </c>
      <c r="D18" s="6" t="s">
        <v>158</v>
      </c>
      <c r="E18" s="6" t="s">
        <v>159</v>
      </c>
      <c r="F18" s="6" t="s">
        <v>146</v>
      </c>
    </row>
    <row r="19" spans="1:6" ht="28.8" customHeight="1" x14ac:dyDescent="0.3">
      <c r="A19" s="6" t="s">
        <v>160</v>
      </c>
      <c r="B19" s="6" t="s">
        <v>9</v>
      </c>
      <c r="C19" s="6" t="s">
        <v>161</v>
      </c>
      <c r="D19" s="6" t="s">
        <v>162</v>
      </c>
      <c r="E19" s="6" t="s">
        <v>163</v>
      </c>
      <c r="F19" s="6" t="s">
        <v>164</v>
      </c>
    </row>
    <row r="20" spans="1:6" ht="43.2" customHeight="1" x14ac:dyDescent="0.3">
      <c r="A20" s="6" t="s">
        <v>165</v>
      </c>
      <c r="B20" s="6" t="s">
        <v>9</v>
      </c>
      <c r="C20" s="6" t="s">
        <v>166</v>
      </c>
      <c r="D20" s="6" t="s">
        <v>167</v>
      </c>
      <c r="E20" s="6" t="s">
        <v>168</v>
      </c>
      <c r="F20" s="6" t="s">
        <v>169</v>
      </c>
    </row>
    <row r="21" spans="1:6" ht="28.8" customHeight="1" x14ac:dyDescent="0.3">
      <c r="A21" s="6" t="s">
        <v>170</v>
      </c>
      <c r="B21" s="6" t="s">
        <v>9</v>
      </c>
      <c r="C21" s="6" t="s">
        <v>171</v>
      </c>
      <c r="D21" s="6" t="s">
        <v>172</v>
      </c>
      <c r="E21" s="6" t="s">
        <v>173</v>
      </c>
      <c r="F21" s="6" t="s">
        <v>174</v>
      </c>
    </row>
    <row r="22" spans="1:6" ht="28.8" customHeight="1" x14ac:dyDescent="0.3">
      <c r="A22" s="6" t="s">
        <v>175</v>
      </c>
      <c r="B22" s="6" t="s">
        <v>9</v>
      </c>
      <c r="C22" s="6" t="s">
        <v>176</v>
      </c>
      <c r="D22" s="6" t="s">
        <v>177</v>
      </c>
      <c r="E22" s="6" t="s">
        <v>178</v>
      </c>
      <c r="F22" s="6" t="s">
        <v>179</v>
      </c>
    </row>
    <row r="23" spans="1:6" ht="28.8" customHeight="1" x14ac:dyDescent="0.3">
      <c r="A23" s="6" t="s">
        <v>180</v>
      </c>
      <c r="B23" s="6" t="s">
        <v>9</v>
      </c>
      <c r="C23" s="6" t="s">
        <v>181</v>
      </c>
      <c r="D23" s="6" t="s">
        <v>182</v>
      </c>
      <c r="E23" s="6" t="s">
        <v>183</v>
      </c>
      <c r="F23" s="6" t="s">
        <v>184</v>
      </c>
    </row>
    <row r="24" spans="1:6" ht="28.8" customHeight="1" x14ac:dyDescent="0.3">
      <c r="A24" s="6" t="s">
        <v>185</v>
      </c>
      <c r="B24" s="6" t="s">
        <v>10</v>
      </c>
      <c r="C24" s="6" t="s">
        <v>186</v>
      </c>
      <c r="D24" s="6" t="s">
        <v>187</v>
      </c>
      <c r="E24" s="6" t="s">
        <v>188</v>
      </c>
      <c r="F24" s="6" t="s">
        <v>189</v>
      </c>
    </row>
    <row r="25" spans="1:6" ht="28.8" customHeight="1" x14ac:dyDescent="0.3">
      <c r="A25" s="6" t="s">
        <v>190</v>
      </c>
      <c r="B25" s="6" t="s">
        <v>10</v>
      </c>
      <c r="C25" s="6" t="s">
        <v>191</v>
      </c>
      <c r="D25" s="6" t="s">
        <v>192</v>
      </c>
      <c r="E25" s="6" t="s">
        <v>193</v>
      </c>
      <c r="F25" s="6" t="s">
        <v>146</v>
      </c>
    </row>
    <row r="26" spans="1:6" ht="28.8" customHeight="1" x14ac:dyDescent="0.3">
      <c r="A26" s="6" t="s">
        <v>194</v>
      </c>
      <c r="B26" s="6" t="s">
        <v>10</v>
      </c>
      <c r="C26" s="6" t="s">
        <v>195</v>
      </c>
      <c r="D26" s="6" t="s">
        <v>196</v>
      </c>
      <c r="E26" s="6" t="s">
        <v>197</v>
      </c>
      <c r="F26" s="6" t="s">
        <v>198</v>
      </c>
    </row>
    <row r="27" spans="1:6" ht="28.8" customHeight="1" x14ac:dyDescent="0.3">
      <c r="A27" s="6" t="s">
        <v>199</v>
      </c>
      <c r="B27" s="6" t="s">
        <v>10</v>
      </c>
      <c r="C27" s="6" t="s">
        <v>200</v>
      </c>
      <c r="D27" s="6" t="s">
        <v>201</v>
      </c>
      <c r="E27" s="6" t="s">
        <v>202</v>
      </c>
      <c r="F27" s="6" t="s">
        <v>146</v>
      </c>
    </row>
    <row r="28" spans="1:6" ht="28.8" customHeight="1" x14ac:dyDescent="0.3">
      <c r="A28" s="6" t="s">
        <v>203</v>
      </c>
      <c r="B28" s="6" t="s">
        <v>10</v>
      </c>
      <c r="C28" s="6" t="s">
        <v>204</v>
      </c>
      <c r="D28" s="6" t="s">
        <v>205</v>
      </c>
      <c r="E28" s="6" t="s">
        <v>206</v>
      </c>
      <c r="F28" s="6" t="s">
        <v>207</v>
      </c>
    </row>
    <row r="29" spans="1:6" ht="28.8" customHeight="1" x14ac:dyDescent="0.3">
      <c r="A29" s="6" t="s">
        <v>208</v>
      </c>
      <c r="B29" s="6" t="s">
        <v>10</v>
      </c>
      <c r="C29" s="6" t="s">
        <v>209</v>
      </c>
      <c r="D29" s="6" t="s">
        <v>210</v>
      </c>
      <c r="E29" s="6" t="s">
        <v>211</v>
      </c>
      <c r="F29" s="6" t="s">
        <v>179</v>
      </c>
    </row>
    <row r="30" spans="1:6" ht="28.8" customHeight="1" x14ac:dyDescent="0.3">
      <c r="A30" s="6" t="s">
        <v>212</v>
      </c>
      <c r="B30" s="6" t="s">
        <v>10</v>
      </c>
      <c r="C30" s="6" t="s">
        <v>213</v>
      </c>
      <c r="D30" s="6" t="s">
        <v>214</v>
      </c>
      <c r="E30" s="6" t="s">
        <v>215</v>
      </c>
      <c r="F30" s="6" t="s">
        <v>216</v>
      </c>
    </row>
    <row r="31" spans="1:6" ht="28.8" customHeight="1" x14ac:dyDescent="0.3">
      <c r="A31" s="6" t="s">
        <v>217</v>
      </c>
      <c r="B31" s="6" t="s">
        <v>10</v>
      </c>
      <c r="C31" s="6" t="s">
        <v>218</v>
      </c>
      <c r="D31" s="6" t="s">
        <v>219</v>
      </c>
      <c r="E31" s="6" t="s">
        <v>220</v>
      </c>
      <c r="F31" s="6" t="s">
        <v>198</v>
      </c>
    </row>
    <row r="32" spans="1:6" ht="28.8" customHeight="1" x14ac:dyDescent="0.3">
      <c r="A32" s="6" t="s">
        <v>221</v>
      </c>
      <c r="B32" s="6" t="s">
        <v>10</v>
      </c>
      <c r="C32" s="6" t="s">
        <v>222</v>
      </c>
      <c r="D32" s="6" t="s">
        <v>223</v>
      </c>
      <c r="E32" s="6" t="s">
        <v>224</v>
      </c>
      <c r="F32" s="6" t="s">
        <v>225</v>
      </c>
    </row>
    <row r="33" spans="1:6" ht="28.8" customHeight="1" x14ac:dyDescent="0.3">
      <c r="A33" s="6" t="s">
        <v>226</v>
      </c>
      <c r="B33" s="6" t="s">
        <v>10</v>
      </c>
      <c r="C33" s="6" t="s">
        <v>227</v>
      </c>
      <c r="D33" s="6" t="s">
        <v>228</v>
      </c>
      <c r="E33" s="6" t="s">
        <v>229</v>
      </c>
      <c r="F33" s="6" t="s">
        <v>230</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L36"/>
  <sheetViews>
    <sheetView workbookViewId="0">
      <pane ySplit="4" topLeftCell="A7" activePane="bottomLeft" state="frozen"/>
      <selection pane="bottomLeft" activeCell="A2" sqref="A2:L2"/>
    </sheetView>
  </sheetViews>
  <sheetFormatPr defaultRowHeight="14.4" x14ac:dyDescent="0.3"/>
  <cols>
    <col min="1" max="1" width="7.33203125" style="86" bestFit="1" customWidth="1"/>
    <col min="2" max="2" width="29.6640625" style="86" bestFit="1" customWidth="1"/>
    <col min="3" max="3" width="20.33203125" style="86" bestFit="1" customWidth="1"/>
    <col min="4" max="7" width="20.33203125" style="86" customWidth="1"/>
    <col min="8" max="8" width="16.5546875" style="86" bestFit="1" customWidth="1"/>
    <col min="9" max="9" width="17.88671875" style="86" bestFit="1" customWidth="1"/>
    <col min="10" max="10" width="11.33203125" style="86" bestFit="1" customWidth="1"/>
    <col min="11" max="11" width="16.33203125" style="86" bestFit="1" customWidth="1"/>
    <col min="12" max="12" width="22.33203125" style="86" bestFit="1" customWidth="1"/>
    <col min="13" max="16384" width="8.88671875" style="86"/>
  </cols>
  <sheetData>
    <row r="1" spans="1:12" ht="18" customHeight="1" x14ac:dyDescent="0.35">
      <c r="A1" s="161" t="s">
        <v>231</v>
      </c>
      <c r="B1" s="161"/>
      <c r="C1" s="161"/>
      <c r="D1" s="161"/>
      <c r="E1" s="161"/>
      <c r="F1" s="161"/>
      <c r="G1" s="161"/>
      <c r="H1" s="161"/>
      <c r="I1" s="161"/>
      <c r="J1" s="161"/>
      <c r="K1" s="161"/>
      <c r="L1" s="161"/>
    </row>
    <row r="2" spans="1:12" ht="15.6" customHeight="1" x14ac:dyDescent="0.3">
      <c r="A2" s="162" t="s">
        <v>232</v>
      </c>
      <c r="B2" s="162"/>
      <c r="C2" s="162"/>
      <c r="D2" s="162"/>
      <c r="E2" s="162"/>
      <c r="F2" s="162"/>
      <c r="G2" s="162"/>
      <c r="H2" s="162"/>
      <c r="I2" s="162"/>
      <c r="J2" s="162"/>
      <c r="K2" s="162"/>
      <c r="L2" s="162"/>
    </row>
    <row r="4" spans="1:12" ht="28.8" customHeight="1" x14ac:dyDescent="0.3">
      <c r="A4" s="10" t="s">
        <v>83</v>
      </c>
      <c r="B4" s="10" t="s">
        <v>85</v>
      </c>
      <c r="C4" s="10" t="s">
        <v>233</v>
      </c>
      <c r="D4" s="10" t="s">
        <v>234</v>
      </c>
      <c r="E4" s="10" t="s">
        <v>235</v>
      </c>
      <c r="F4" s="10" t="s">
        <v>236</v>
      </c>
      <c r="G4" s="10" t="s">
        <v>237</v>
      </c>
      <c r="H4" s="10" t="s">
        <v>238</v>
      </c>
      <c r="I4" s="10" t="s">
        <v>239</v>
      </c>
      <c r="J4" s="10" t="s">
        <v>240</v>
      </c>
      <c r="K4" s="10" t="s">
        <v>241</v>
      </c>
      <c r="L4" s="10" t="s">
        <v>884</v>
      </c>
    </row>
    <row r="5" spans="1:12" ht="172.8" customHeight="1" x14ac:dyDescent="0.3">
      <c r="A5" s="7" t="s">
        <v>89</v>
      </c>
      <c r="B5" s="7" t="s">
        <v>242</v>
      </c>
      <c r="C5" s="7" t="s">
        <v>243</v>
      </c>
      <c r="D5" s="7" t="s">
        <v>244</v>
      </c>
      <c r="E5" s="7" t="s">
        <v>245</v>
      </c>
      <c r="F5" s="11" t="s">
        <v>246</v>
      </c>
      <c r="G5" s="7" t="s">
        <v>247</v>
      </c>
      <c r="H5" s="7" t="s">
        <v>248</v>
      </c>
      <c r="I5" s="7">
        <v>293</v>
      </c>
      <c r="J5" s="7" t="s">
        <v>249</v>
      </c>
      <c r="K5" s="7" t="s">
        <v>250</v>
      </c>
      <c r="L5" s="7" t="str">
        <f>IFERROR(IF(INDEX(Benchmark!$K$33:$K$62,MATCH($A5,Benchmark!$A$33:$A$62,0))="n/a","No official equivalent",INDEX(Benchmark!$J$33:$J$62,MATCH($A5,Benchmark!$A$33:$A$62,0))&amp;" - "&amp;INDEX(Benchmark!$K$33:$K$62,MATCH($A5,Benchmark!$A$33:$A$62,0))),"")</f>
        <v>Climate strategy - Very High</v>
      </c>
    </row>
    <row r="6" spans="1:12" ht="100.8" customHeight="1" x14ac:dyDescent="0.3">
      <c r="A6" s="7" t="s">
        <v>94</v>
      </c>
      <c r="B6" s="7" t="s">
        <v>95</v>
      </c>
      <c r="C6" s="7" t="s">
        <v>251</v>
      </c>
      <c r="D6" s="7" t="s">
        <v>252</v>
      </c>
      <c r="E6" s="7" t="s">
        <v>253</v>
      </c>
      <c r="F6" s="11" t="s">
        <v>246</v>
      </c>
      <c r="G6" s="7" t="s">
        <v>254</v>
      </c>
      <c r="H6" s="7" t="s">
        <v>248</v>
      </c>
      <c r="I6" s="7">
        <v>293</v>
      </c>
      <c r="J6" s="7" t="s">
        <v>249</v>
      </c>
      <c r="K6" s="7" t="s">
        <v>250</v>
      </c>
      <c r="L6" s="7" t="str">
        <f>IFERROR(IF(INDEX(Benchmark!$K$33:$K$62,MATCH($A6,Benchmark!$A$33:$A$62,0))="n/a","No official equivalent",INDEX(Benchmark!$J$33:$J$62,MATCH($A6,Benchmark!$A$33:$A$62,0))&amp;" - "&amp;INDEX(Benchmark!$K$33:$K$62,MATCH($A6,Benchmark!$A$33:$A$62,0))),"")</f>
        <v>Emissions management - Very High</v>
      </c>
    </row>
    <row r="7" spans="1:12" ht="144" customHeight="1" x14ac:dyDescent="0.3">
      <c r="A7" s="9" t="s">
        <v>99</v>
      </c>
      <c r="B7" s="9" t="s">
        <v>100</v>
      </c>
      <c r="C7" s="7" t="s">
        <v>255</v>
      </c>
      <c r="D7" s="7" t="s">
        <v>256</v>
      </c>
      <c r="E7" s="7" t="s">
        <v>257</v>
      </c>
      <c r="F7" s="11" t="s">
        <v>246</v>
      </c>
      <c r="G7" s="7" t="s">
        <v>258</v>
      </c>
      <c r="H7" s="7" t="s">
        <v>248</v>
      </c>
      <c r="I7" s="7">
        <v>293</v>
      </c>
      <c r="J7" s="7" t="s">
        <v>249</v>
      </c>
      <c r="K7" s="7" t="s">
        <v>250</v>
      </c>
      <c r="L7" s="7" t="str">
        <f>IFERROR(IF(INDEX(Benchmark!$K$33:$K$62,MATCH($A7,Benchmark!$A$33:$A$62,0))="n/a","No official equivalent",INDEX(Benchmark!$J$33:$J$62,MATCH($A7,Benchmark!$A$33:$A$62,0))&amp;" - "&amp;INDEX(Benchmark!$K$33:$K$62,MATCH($A7,Benchmark!$A$33:$A$62,0))),"")</f>
        <v>Energy management - Very High</v>
      </c>
    </row>
    <row r="8" spans="1:12" ht="100.8" customHeight="1" x14ac:dyDescent="0.3">
      <c r="A8" s="9" t="s">
        <v>104</v>
      </c>
      <c r="B8" s="9" t="s">
        <v>105</v>
      </c>
      <c r="C8" s="7" t="s">
        <v>259</v>
      </c>
      <c r="D8" s="7" t="s">
        <v>260</v>
      </c>
      <c r="E8" s="7" t="s">
        <v>261</v>
      </c>
      <c r="F8" s="11" t="s">
        <v>246</v>
      </c>
      <c r="G8" s="7" t="s">
        <v>262</v>
      </c>
      <c r="H8" s="7" t="s">
        <v>248</v>
      </c>
      <c r="I8" s="7">
        <v>293</v>
      </c>
      <c r="J8" s="7" t="s">
        <v>249</v>
      </c>
      <c r="K8" s="7" t="s">
        <v>250</v>
      </c>
      <c r="L8" s="7" t="str">
        <f>IFERROR(IF(INDEX(Benchmark!$K$33:$K$62,MATCH($A8,Benchmark!$A$33:$A$62,0))="n/a","No official equivalent",INDEX(Benchmark!$J$33:$J$62,MATCH($A8,Benchmark!$A$33:$A$62,0))&amp;" - "&amp;INDEX(Benchmark!$K$33:$K$62,MATCH($A8,Benchmark!$A$33:$A$62,0))),"")</f>
        <v>Emissions management - Very High</v>
      </c>
    </row>
    <row r="9" spans="1:12" ht="187.2" customHeight="1" x14ac:dyDescent="0.3">
      <c r="A9" s="9" t="s">
        <v>109</v>
      </c>
      <c r="B9" s="9" t="s">
        <v>263</v>
      </c>
      <c r="C9" s="7" t="s">
        <v>264</v>
      </c>
      <c r="D9" s="7" t="s">
        <v>265</v>
      </c>
      <c r="E9" s="7" t="s">
        <v>266</v>
      </c>
      <c r="F9" s="11" t="s">
        <v>246</v>
      </c>
      <c r="G9" s="7" t="s">
        <v>267</v>
      </c>
      <c r="H9" s="7" t="s">
        <v>248</v>
      </c>
      <c r="I9" s="7">
        <v>294</v>
      </c>
      <c r="J9" s="7" t="s">
        <v>249</v>
      </c>
      <c r="K9" s="7" t="s">
        <v>250</v>
      </c>
      <c r="L9" s="7" t="str">
        <f>IFERROR(IF(INDEX(Benchmark!$K$33:$K$62,MATCH($A9,Benchmark!$A$33:$A$62,0))="n/a","No official equivalent",INDEX(Benchmark!$J$33:$J$62,MATCH($A9,Benchmark!$A$33:$A$62,0))&amp;" - "&amp;INDEX(Benchmark!$K$33:$K$62,MATCH($A9,Benchmark!$A$33:$A$62,0))),"")</f>
        <v>Water and effluent management - Very High</v>
      </c>
    </row>
    <row r="10" spans="1:12" ht="201.6" customHeight="1" x14ac:dyDescent="0.3">
      <c r="A10" s="9" t="s">
        <v>114</v>
      </c>
      <c r="B10" s="9" t="s">
        <v>115</v>
      </c>
      <c r="C10" s="7" t="s">
        <v>268</v>
      </c>
      <c r="D10" s="7" t="s">
        <v>269</v>
      </c>
      <c r="E10" s="7" t="s">
        <v>270</v>
      </c>
      <c r="F10" s="11" t="s">
        <v>246</v>
      </c>
      <c r="G10" s="7" t="s">
        <v>271</v>
      </c>
      <c r="H10" s="7" t="s">
        <v>248</v>
      </c>
      <c r="I10" s="7" t="s">
        <v>272</v>
      </c>
      <c r="J10" s="7" t="s">
        <v>249</v>
      </c>
      <c r="K10" s="7" t="s">
        <v>250</v>
      </c>
      <c r="L10" s="7" t="str">
        <f>IFERROR(IF(INDEX(Benchmark!$K$33:$K$62,MATCH($A10,Benchmark!$A$33:$A$62,0))="n/a","No official equivalent",INDEX(Benchmark!$J$33:$J$62,MATCH($A10,Benchmark!$A$33:$A$62,0))&amp;" - "&amp;INDEX(Benchmark!$K$33:$K$62,MATCH($A10,Benchmark!$A$33:$A$62,0))),"")</f>
        <v>Safeguarding biodiversity - High</v>
      </c>
    </row>
    <row r="11" spans="1:12" ht="144" customHeight="1" x14ac:dyDescent="0.3">
      <c r="A11" s="9" t="s">
        <v>119</v>
      </c>
      <c r="B11" s="9" t="s">
        <v>273</v>
      </c>
      <c r="C11" s="7" t="s">
        <v>274</v>
      </c>
      <c r="D11" s="7" t="s">
        <v>275</v>
      </c>
      <c r="E11" s="7" t="s">
        <v>276</v>
      </c>
      <c r="F11" s="11" t="s">
        <v>246</v>
      </c>
      <c r="G11" s="7" t="s">
        <v>277</v>
      </c>
      <c r="H11" s="7" t="s">
        <v>248</v>
      </c>
      <c r="I11" s="7">
        <v>323</v>
      </c>
      <c r="J11" s="7" t="s">
        <v>249</v>
      </c>
      <c r="K11" s="7" t="s">
        <v>250</v>
      </c>
      <c r="L11" s="7" t="str">
        <f>IFERROR(IF(INDEX(Benchmark!$K$33:$K$62,MATCH($A11,Benchmark!$A$33:$A$62,0))="n/a","No official equivalent",INDEX(Benchmark!$J$33:$J$62,MATCH($A11,Benchmark!$A$33:$A$62,0))&amp;" - "&amp;INDEX(Benchmark!$K$33:$K$62,MATCH($A11,Benchmark!$A$33:$A$62,0))),"")</f>
        <v>Hazardous and toxic waste management - High</v>
      </c>
    </row>
    <row r="12" spans="1:12" ht="129.6" customHeight="1" x14ac:dyDescent="0.3">
      <c r="A12" s="9" t="s">
        <v>124</v>
      </c>
      <c r="B12" s="9" t="s">
        <v>278</v>
      </c>
      <c r="C12" s="7" t="s">
        <v>279</v>
      </c>
      <c r="D12" s="7" t="s">
        <v>280</v>
      </c>
      <c r="E12" s="7" t="s">
        <v>281</v>
      </c>
      <c r="F12" s="11" t="s">
        <v>246</v>
      </c>
      <c r="G12" s="7" t="s">
        <v>282</v>
      </c>
      <c r="H12" s="7" t="s">
        <v>248</v>
      </c>
      <c r="I12" s="7">
        <v>323</v>
      </c>
      <c r="J12" s="7" t="s">
        <v>249</v>
      </c>
      <c r="K12" s="7" t="s">
        <v>250</v>
      </c>
      <c r="L12" s="7" t="str">
        <f>IFERROR(IF(INDEX(Benchmark!$K$33:$K$62,MATCH($A12,Benchmark!$A$33:$A$62,0))="n/a","No official equivalent",INDEX(Benchmark!$J$33:$J$62,MATCH($A12,Benchmark!$A$33:$A$62,0))&amp;" - "&amp;INDEX(Benchmark!$K$33:$K$62,MATCH($A12,Benchmark!$A$33:$A$62,0))),"")</f>
        <v>No official equivalent</v>
      </c>
    </row>
    <row r="13" spans="1:12" ht="100.8" customHeight="1" x14ac:dyDescent="0.3">
      <c r="A13" s="9" t="s">
        <v>128</v>
      </c>
      <c r="B13" s="9" t="s">
        <v>129</v>
      </c>
      <c r="C13" s="7" t="s">
        <v>283</v>
      </c>
      <c r="D13" s="7" t="s">
        <v>284</v>
      </c>
      <c r="E13" s="7" t="s">
        <v>285</v>
      </c>
      <c r="F13" s="11" t="s">
        <v>246</v>
      </c>
      <c r="G13" s="7" t="s">
        <v>286</v>
      </c>
      <c r="H13" s="7" t="s">
        <v>248</v>
      </c>
      <c r="I13" s="7">
        <v>294</v>
      </c>
      <c r="J13" s="7" t="s">
        <v>249</v>
      </c>
      <c r="K13" s="7" t="s">
        <v>287</v>
      </c>
      <c r="L13" s="7" t="str">
        <f>IFERROR(IF(INDEX(Benchmark!$K$33:$K$62,MATCH($A13,Benchmark!$A$33:$A$62,0))="n/a","No official equivalent",INDEX(Benchmark!$J$33:$J$62,MATCH($A13,Benchmark!$A$33:$A$62,0))&amp;" - "&amp;INDEX(Benchmark!$K$33:$K$62,MATCH($A13,Benchmark!$A$33:$A$62,0))),"")</f>
        <v>No official equivalent</v>
      </c>
    </row>
    <row r="14" spans="1:12" ht="115.2" customHeight="1" x14ac:dyDescent="0.3">
      <c r="A14" s="9" t="s">
        <v>132</v>
      </c>
      <c r="B14" s="9" t="s">
        <v>288</v>
      </c>
      <c r="C14" s="7" t="s">
        <v>289</v>
      </c>
      <c r="D14" s="7" t="s">
        <v>290</v>
      </c>
      <c r="E14" s="7" t="s">
        <v>291</v>
      </c>
      <c r="F14" s="11" t="s">
        <v>246</v>
      </c>
      <c r="G14" s="7" t="s">
        <v>292</v>
      </c>
      <c r="H14" s="7" t="s">
        <v>248</v>
      </c>
      <c r="I14" s="7">
        <v>323</v>
      </c>
      <c r="J14" s="7" t="s">
        <v>249</v>
      </c>
      <c r="K14" s="7" t="s">
        <v>287</v>
      </c>
      <c r="L14" s="7" t="str">
        <f>IFERROR(IF(INDEX(Benchmark!$K$33:$K$62,MATCH($A14,Benchmark!$A$33:$A$62,0))="n/a","No official equivalent",INDEX(Benchmark!$J$33:$J$62,MATCH($A14,Benchmark!$A$33:$A$62,0))&amp;" - "&amp;INDEX(Benchmark!$K$33:$K$62,MATCH($A14,Benchmark!$A$33:$A$62,0))),"")</f>
        <v>Product design and lifecycle management* - Medium</v>
      </c>
    </row>
    <row r="15" spans="1:12" ht="7.8" customHeight="1" x14ac:dyDescent="0.3">
      <c r="A15" s="87"/>
      <c r="B15" s="87"/>
      <c r="C15" s="87"/>
      <c r="D15" s="87"/>
      <c r="E15" s="87"/>
      <c r="F15" s="87"/>
      <c r="G15" s="87"/>
      <c r="H15" s="87"/>
      <c r="I15" s="87"/>
      <c r="J15" s="87"/>
      <c r="K15" s="87"/>
      <c r="L15" s="93" t="str">
        <f>IFERROR(IF(INDEX(Benchmark!$K$33:$K$62,MATCH($A15,Benchmark!$A$33:$A$62,0))="n/a","No official equivalent",INDEX(Benchmark!$J$33:$J$62,MATCH($A15,Benchmark!$A$33:$A$62,0))&amp;" - "&amp;INDEX(Benchmark!$K$33:$K$62,MATCH($A15,Benchmark!$A$33:$A$62,0))),"")</f>
        <v/>
      </c>
    </row>
    <row r="16" spans="1:12" ht="273.60000000000002" customHeight="1" x14ac:dyDescent="0.3">
      <c r="A16" s="9" t="s">
        <v>137</v>
      </c>
      <c r="B16" s="9" t="s">
        <v>138</v>
      </c>
      <c r="C16" s="7" t="s">
        <v>293</v>
      </c>
      <c r="D16" s="7" t="s">
        <v>294</v>
      </c>
      <c r="E16" s="7" t="s">
        <v>295</v>
      </c>
      <c r="F16" s="11" t="s">
        <v>246</v>
      </c>
      <c r="G16" s="7" t="s">
        <v>296</v>
      </c>
      <c r="H16" s="7" t="s">
        <v>297</v>
      </c>
      <c r="I16" s="7" t="s">
        <v>298</v>
      </c>
      <c r="J16" s="7" t="s">
        <v>249</v>
      </c>
      <c r="K16" s="7" t="s">
        <v>250</v>
      </c>
      <c r="L16" s="7" t="str">
        <f>IFERROR(IF(INDEX(Benchmark!$K$33:$K$62,MATCH($A16,Benchmark!$A$33:$A$62,0))="n/a","No official equivalent",INDEX(Benchmark!$J$33:$J$62,MATCH($A16,Benchmark!$A$33:$A$62,0))&amp;" - "&amp;INDEX(Benchmark!$K$33:$K$62,MATCH($A16,Benchmark!$A$33:$A$62,0))),"")</f>
        <v>Occupational health and safety - Very High</v>
      </c>
    </row>
    <row r="17" spans="1:12" ht="187.2" customHeight="1" x14ac:dyDescent="0.3">
      <c r="A17" s="9" t="s">
        <v>142</v>
      </c>
      <c r="B17" s="9" t="s">
        <v>143</v>
      </c>
      <c r="C17" s="7" t="s">
        <v>299</v>
      </c>
      <c r="D17" s="7" t="s">
        <v>300</v>
      </c>
      <c r="E17" s="7" t="s">
        <v>301</v>
      </c>
      <c r="F17" s="11" t="s">
        <v>246</v>
      </c>
      <c r="G17" s="7" t="s">
        <v>302</v>
      </c>
      <c r="H17" s="7" t="s">
        <v>297</v>
      </c>
      <c r="I17" s="7" t="s">
        <v>303</v>
      </c>
      <c r="J17" s="7" t="s">
        <v>249</v>
      </c>
      <c r="K17" s="7" t="s">
        <v>250</v>
      </c>
      <c r="L17" s="7" t="str">
        <f>IFERROR(IF(INDEX(Benchmark!$K$33:$K$62,MATCH($A17,Benchmark!$A$33:$A$62,0))="n/a","No official equivalent",INDEX(Benchmark!$J$33:$J$62,MATCH($A17,Benchmark!$A$33:$A$62,0))&amp;" - "&amp;INDEX(Benchmark!$K$33:$K$62,MATCH($A17,Benchmark!$A$33:$A$62,0))),"")</f>
        <v>Responsible employer - Medium</v>
      </c>
    </row>
    <row r="18" spans="1:12" ht="172.8" customHeight="1" x14ac:dyDescent="0.3">
      <c r="A18" s="9" t="s">
        <v>147</v>
      </c>
      <c r="B18" s="9" t="s">
        <v>148</v>
      </c>
      <c r="C18" s="7" t="s">
        <v>304</v>
      </c>
      <c r="D18" s="7" t="s">
        <v>305</v>
      </c>
      <c r="E18" s="7" t="s">
        <v>306</v>
      </c>
      <c r="F18" s="11" t="s">
        <v>246</v>
      </c>
      <c r="G18" s="7" t="s">
        <v>307</v>
      </c>
      <c r="H18" s="7" t="s">
        <v>297</v>
      </c>
      <c r="I18" s="7" t="s">
        <v>303</v>
      </c>
      <c r="J18" s="7" t="s">
        <v>249</v>
      </c>
      <c r="K18" s="7" t="s">
        <v>250</v>
      </c>
      <c r="L18" s="7" t="str">
        <f>IFERROR(IF(INDEX(Benchmark!$K$33:$K$62,MATCH($A18,Benchmark!$A$33:$A$62,0))="n/a","No official equivalent",INDEX(Benchmark!$J$33:$J$62,MATCH($A18,Benchmark!$A$33:$A$62,0))&amp;" - "&amp;INDEX(Benchmark!$K$33:$K$62,MATCH($A18,Benchmark!$A$33:$A$62,0))),"")</f>
        <v>Diversity and inclusion in workplace - Medium</v>
      </c>
    </row>
    <row r="19" spans="1:12" ht="144" customHeight="1" x14ac:dyDescent="0.3">
      <c r="A19" s="9" t="s">
        <v>151</v>
      </c>
      <c r="B19" s="9" t="s">
        <v>152</v>
      </c>
      <c r="C19" s="7" t="s">
        <v>308</v>
      </c>
      <c r="D19" s="7" t="s">
        <v>309</v>
      </c>
      <c r="E19" s="7" t="s">
        <v>310</v>
      </c>
      <c r="F19" s="11" t="s">
        <v>246</v>
      </c>
      <c r="G19" s="7" t="s">
        <v>311</v>
      </c>
      <c r="H19" s="7" t="s">
        <v>297</v>
      </c>
      <c r="I19" s="7" t="s">
        <v>303</v>
      </c>
      <c r="J19" s="7" t="s">
        <v>249</v>
      </c>
      <c r="K19" s="7" t="s">
        <v>250</v>
      </c>
      <c r="L19" s="7" t="str">
        <f>IFERROR(IF(INDEX(Benchmark!$K$33:$K$62,MATCH($A19,Benchmark!$A$33:$A$62,0))="n/a","No official equivalent",INDEX(Benchmark!$J$33:$J$62,MATCH($A19,Benchmark!$A$33:$A$62,0))&amp;" - "&amp;INDEX(Benchmark!$K$33:$K$62,MATCH($A19,Benchmark!$A$33:$A$62,0))),"")</f>
        <v>Employee retention, engagement and talent development - High</v>
      </c>
    </row>
    <row r="20" spans="1:12" ht="187.2" customHeight="1" x14ac:dyDescent="0.3">
      <c r="A20" s="9" t="s">
        <v>156</v>
      </c>
      <c r="B20" s="9" t="s">
        <v>157</v>
      </c>
      <c r="C20" s="7" t="s">
        <v>312</v>
      </c>
      <c r="D20" s="7" t="s">
        <v>313</v>
      </c>
      <c r="E20" s="7" t="s">
        <v>314</v>
      </c>
      <c r="F20" s="88" t="s">
        <v>315</v>
      </c>
      <c r="G20" s="7" t="s">
        <v>316</v>
      </c>
      <c r="H20" s="7" t="s">
        <v>317</v>
      </c>
      <c r="I20" s="7" t="s">
        <v>318</v>
      </c>
      <c r="J20" s="7" t="s">
        <v>249</v>
      </c>
      <c r="K20" s="7" t="s">
        <v>250</v>
      </c>
      <c r="L20" s="7" t="str">
        <f>IFERROR(IF(INDEX(Benchmark!$K$33:$K$62,MATCH($A20,Benchmark!$A$33:$A$62,0))="n/a","No official equivalent",INDEX(Benchmark!$J$33:$J$62,MATCH($A20,Benchmark!$A$33:$A$62,0))&amp;" - "&amp;INDEX(Benchmark!$K$33:$K$62,MATCH($A20,Benchmark!$A$33:$A$62,0))),"")</f>
        <v>Labour management - High</v>
      </c>
    </row>
    <row r="21" spans="1:12" ht="172.8" customHeight="1" x14ac:dyDescent="0.3">
      <c r="A21" s="9" t="s">
        <v>160</v>
      </c>
      <c r="B21" s="7" t="s">
        <v>319</v>
      </c>
      <c r="C21" s="7" t="s">
        <v>320</v>
      </c>
      <c r="D21" s="7" t="s">
        <v>321</v>
      </c>
      <c r="E21" s="7" t="s">
        <v>322</v>
      </c>
      <c r="F21" s="88" t="s">
        <v>315</v>
      </c>
      <c r="G21" s="7" t="s">
        <v>323</v>
      </c>
      <c r="H21" s="7" t="s">
        <v>297</v>
      </c>
      <c r="I21" s="9" t="s">
        <v>324</v>
      </c>
      <c r="J21" s="7" t="s">
        <v>249</v>
      </c>
      <c r="K21" s="7" t="s">
        <v>250</v>
      </c>
      <c r="L21" s="7" t="str">
        <f>IFERROR(IF(INDEX(Benchmark!$K$33:$K$62,MATCH($A21,Benchmark!$A$33:$A$62,0))="n/a","No official equivalent",INDEX(Benchmark!$J$33:$J$62,MATCH($A21,Benchmark!$A$33:$A$62,0))&amp;" - "&amp;INDEX(Benchmark!$K$33:$K$62,MATCH($A21,Benchmark!$A$33:$A$62,0))),"")</f>
        <v>Human rights - High</v>
      </c>
    </row>
    <row r="22" spans="1:12" ht="230.4" customHeight="1" x14ac:dyDescent="0.3">
      <c r="A22" s="9" t="s">
        <v>165</v>
      </c>
      <c r="B22" s="9" t="s">
        <v>166</v>
      </c>
      <c r="C22" s="7" t="s">
        <v>325</v>
      </c>
      <c r="D22" s="7" t="s">
        <v>326</v>
      </c>
      <c r="E22" s="7" t="s">
        <v>327</v>
      </c>
      <c r="F22" s="11" t="s">
        <v>246</v>
      </c>
      <c r="G22" s="7" t="s">
        <v>328</v>
      </c>
      <c r="H22" s="7" t="s">
        <v>297</v>
      </c>
      <c r="I22" s="7" t="s">
        <v>329</v>
      </c>
      <c r="J22" s="9" t="s">
        <v>330</v>
      </c>
      <c r="K22" s="7" t="s">
        <v>250</v>
      </c>
      <c r="L22" s="7" t="str">
        <f>IFERROR(IF(INDEX(Benchmark!$K$33:$K$62,MATCH($A22,Benchmark!$A$33:$A$62,0))="n/a","No official equivalent",INDEX(Benchmark!$J$33:$J$62,MATCH($A22,Benchmark!$A$33:$A$62,0))&amp;" - "&amp;INDEX(Benchmark!$K$33:$K$62,MATCH($A22,Benchmark!$A$33:$A$62,0))),"")</f>
        <v>Building sustainable communities - High</v>
      </c>
    </row>
    <row r="23" spans="1:12" ht="216" customHeight="1" x14ac:dyDescent="0.3">
      <c r="A23" s="9" t="s">
        <v>170</v>
      </c>
      <c r="B23" s="9" t="s">
        <v>171</v>
      </c>
      <c r="C23" s="7" t="s">
        <v>331</v>
      </c>
      <c r="D23" s="7" t="s">
        <v>332</v>
      </c>
      <c r="E23" s="7" t="s">
        <v>333</v>
      </c>
      <c r="F23" s="11" t="s">
        <v>246</v>
      </c>
      <c r="G23" s="7" t="s">
        <v>334</v>
      </c>
      <c r="H23" s="7" t="s">
        <v>335</v>
      </c>
      <c r="I23" s="7" t="s">
        <v>336</v>
      </c>
      <c r="J23" s="9" t="s">
        <v>330</v>
      </c>
      <c r="K23" s="7" t="s">
        <v>250</v>
      </c>
      <c r="L23" s="7" t="str">
        <f>IFERROR(IF(INDEX(Benchmark!$K$33:$K$62,MATCH($A23,Benchmark!$A$33:$A$62,0))="n/a","No official equivalent",INDEX(Benchmark!$J$33:$J$62,MATCH($A23,Benchmark!$A$33:$A$62,0))&amp;" - "&amp;INDEX(Benchmark!$K$33:$K$62,MATCH($A23,Benchmark!$A$33:$A$62,0))),"")</f>
        <v>Access and affordability* - High</v>
      </c>
    </row>
    <row r="24" spans="1:12" ht="244.8" customHeight="1" x14ac:dyDescent="0.3">
      <c r="A24" s="9" t="s">
        <v>175</v>
      </c>
      <c r="B24" s="9" t="s">
        <v>176</v>
      </c>
      <c r="C24" s="7" t="s">
        <v>337</v>
      </c>
      <c r="D24" s="7" t="s">
        <v>338</v>
      </c>
      <c r="E24" s="7" t="s">
        <v>339</v>
      </c>
      <c r="F24" s="11" t="s">
        <v>246</v>
      </c>
      <c r="G24" s="7" t="s">
        <v>340</v>
      </c>
      <c r="H24" s="7" t="s">
        <v>297</v>
      </c>
      <c r="I24" s="7" t="s">
        <v>341</v>
      </c>
      <c r="J24" s="9" t="s">
        <v>330</v>
      </c>
      <c r="K24" s="7" t="s">
        <v>250</v>
      </c>
      <c r="L24" s="7" t="str">
        <f>IFERROR(IF(INDEX(Benchmark!$K$33:$K$62,MATCH($A24,Benchmark!$A$33:$A$62,0))="n/a","No official equivalent",INDEX(Benchmark!$J$33:$J$62,MATCH($A24,Benchmark!$A$33:$A$62,0))&amp;" - "&amp;INDEX(Benchmark!$K$33:$K$62,MATCH($A24,Benchmark!$A$33:$A$62,0))),"")</f>
        <v>Customer relationship management - High</v>
      </c>
    </row>
    <row r="25" spans="1:12" ht="201.6" customHeight="1" x14ac:dyDescent="0.3">
      <c r="A25" s="9" t="s">
        <v>180</v>
      </c>
      <c r="B25" s="9" t="s">
        <v>181</v>
      </c>
      <c r="C25" s="7" t="s">
        <v>342</v>
      </c>
      <c r="D25" s="7" t="s">
        <v>343</v>
      </c>
      <c r="E25" s="7" t="s">
        <v>344</v>
      </c>
      <c r="F25" s="11" t="s">
        <v>246</v>
      </c>
      <c r="G25" s="7" t="s">
        <v>345</v>
      </c>
      <c r="H25" s="7" t="s">
        <v>297</v>
      </c>
      <c r="I25" s="7">
        <v>294</v>
      </c>
      <c r="J25" s="9" t="s">
        <v>330</v>
      </c>
      <c r="K25" s="7" t="s">
        <v>250</v>
      </c>
      <c r="L25" s="7" t="str">
        <f>IFERROR(IF(INDEX(Benchmark!$K$33:$K$62,MATCH($A25,Benchmark!$A$33:$A$62,0))="n/a","No official equivalent",INDEX(Benchmark!$J$33:$J$62,MATCH($A25,Benchmark!$A$33:$A$62,0))&amp;" - "&amp;INDEX(Benchmark!$K$33:$K$62,MATCH($A25,Benchmark!$A$33:$A$62,0))),"")</f>
        <v>Continuous and affordable green power - Very High</v>
      </c>
    </row>
    <row r="26" spans="1:12" ht="6.6" customHeight="1" x14ac:dyDescent="0.3">
      <c r="A26" s="89"/>
      <c r="B26" s="89"/>
      <c r="C26" s="89"/>
      <c r="D26" s="89"/>
      <c r="E26" s="89"/>
      <c r="F26" s="89"/>
      <c r="G26" s="89"/>
      <c r="H26" s="89"/>
      <c r="I26" s="89"/>
      <c r="J26" s="89"/>
      <c r="K26" s="89"/>
      <c r="L26" s="89" t="str">
        <f>IFERROR(IF(INDEX(Benchmark!$K$33:$K$62,MATCH($A26,Benchmark!$A$33:$A$62,0))="n/a","No official equivalent",INDEX(Benchmark!$J$33:$J$62,MATCH($A26,Benchmark!$A$33:$A$62,0))&amp;" - "&amp;INDEX(Benchmark!$K$33:$K$62,MATCH($A26,Benchmark!$A$33:$A$62,0))),"")</f>
        <v/>
      </c>
    </row>
    <row r="27" spans="1:12" ht="172.8" customHeight="1" x14ac:dyDescent="0.3">
      <c r="A27" s="11" t="s">
        <v>185</v>
      </c>
      <c r="B27" s="11" t="s">
        <v>346</v>
      </c>
      <c r="C27" s="7" t="s">
        <v>347</v>
      </c>
      <c r="D27" s="7" t="s">
        <v>348</v>
      </c>
      <c r="E27" s="7" t="s">
        <v>349</v>
      </c>
      <c r="F27" s="11" t="s">
        <v>315</v>
      </c>
      <c r="G27" s="7" t="s">
        <v>350</v>
      </c>
      <c r="H27" s="7" t="s">
        <v>351</v>
      </c>
      <c r="I27" s="11" t="s">
        <v>352</v>
      </c>
      <c r="J27" s="7" t="s">
        <v>353</v>
      </c>
      <c r="K27" s="11" t="s">
        <v>250</v>
      </c>
      <c r="L27" s="7" t="str">
        <f>IFERROR(IF(INDEX(Benchmark!$K$33:$K$62,MATCH($A27,Benchmark!$A$33:$A$62,0))="n/a","No official equivalent",INDEX(Benchmark!$J$33:$J$62,MATCH($A27,Benchmark!$A$33:$A$62,0))&amp;" - "&amp;INDEX(Benchmark!$K$33:$K$62,MATCH($A27,Benchmark!$A$33:$A$62,0))),"")</f>
        <v>Ethical business conduct - Very High</v>
      </c>
    </row>
    <row r="28" spans="1:12" ht="172.8" customHeight="1" x14ac:dyDescent="0.3">
      <c r="A28" s="11" t="s">
        <v>190</v>
      </c>
      <c r="B28" s="11" t="s">
        <v>354</v>
      </c>
      <c r="C28" s="7" t="s">
        <v>355</v>
      </c>
      <c r="D28" s="7" t="s">
        <v>356</v>
      </c>
      <c r="E28" s="7" t="s">
        <v>357</v>
      </c>
      <c r="F28" s="11" t="s">
        <v>315</v>
      </c>
      <c r="G28" s="7" t="s">
        <v>358</v>
      </c>
      <c r="H28" s="7" t="s">
        <v>359</v>
      </c>
      <c r="I28" s="11" t="s">
        <v>360</v>
      </c>
      <c r="J28" s="7" t="s">
        <v>361</v>
      </c>
      <c r="K28" s="11" t="s">
        <v>250</v>
      </c>
      <c r="L28" s="7" t="str">
        <f>IFERROR(IF(INDEX(Benchmark!$K$33:$K$62,MATCH($A28,Benchmark!$A$33:$A$62,0))="n/a","No official equivalent",INDEX(Benchmark!$J$33:$J$62,MATCH($A28,Benchmark!$A$33:$A$62,0))&amp;" - "&amp;INDEX(Benchmark!$K$33:$K$62,MATCH($A28,Benchmark!$A$33:$A$62,0))),"")</f>
        <v>Regulatory compliance and landscape - High</v>
      </c>
    </row>
    <row r="29" spans="1:12" ht="129.6" customHeight="1" x14ac:dyDescent="0.3">
      <c r="A29" s="11" t="s">
        <v>194</v>
      </c>
      <c r="B29" s="11" t="s">
        <v>362</v>
      </c>
      <c r="C29" s="7" t="s">
        <v>363</v>
      </c>
      <c r="D29" s="7" t="s">
        <v>364</v>
      </c>
      <c r="E29" s="7" t="s">
        <v>365</v>
      </c>
      <c r="F29" s="11" t="s">
        <v>246</v>
      </c>
      <c r="G29" s="7" t="s">
        <v>366</v>
      </c>
      <c r="H29" s="7" t="s">
        <v>367</v>
      </c>
      <c r="I29" s="11" t="s">
        <v>368</v>
      </c>
      <c r="J29" s="7" t="s">
        <v>369</v>
      </c>
      <c r="K29" s="11" t="s">
        <v>250</v>
      </c>
      <c r="L29" s="7" t="str">
        <f>IFERROR(IF(INDEX(Benchmark!$K$33:$K$62,MATCH($A29,Benchmark!$A$33:$A$62,0))="n/a","No official equivalent",INDEX(Benchmark!$J$33:$J$62,MATCH($A29,Benchmark!$A$33:$A$62,0))&amp;" - "&amp;INDEX(Benchmark!$K$33:$K$62,MATCH($A29,Benchmark!$A$33:$A$62,0))),"")</f>
        <v>ESG governance - Very High</v>
      </c>
    </row>
    <row r="30" spans="1:12" ht="158.4" customHeight="1" x14ac:dyDescent="0.3">
      <c r="A30" s="11" t="s">
        <v>199</v>
      </c>
      <c r="B30" s="11" t="s">
        <v>370</v>
      </c>
      <c r="C30" s="7" t="s">
        <v>371</v>
      </c>
      <c r="D30" s="7" t="s">
        <v>372</v>
      </c>
      <c r="E30" s="7" t="s">
        <v>373</v>
      </c>
      <c r="F30" s="11" t="s">
        <v>246</v>
      </c>
      <c r="G30" s="7" t="s">
        <v>374</v>
      </c>
      <c r="H30" s="7" t="s">
        <v>359</v>
      </c>
      <c r="I30" s="11">
        <v>83</v>
      </c>
      <c r="J30" s="7" t="s">
        <v>361</v>
      </c>
      <c r="K30" s="11" t="s">
        <v>250</v>
      </c>
      <c r="L30" s="7" t="str">
        <f>IFERROR(IF(INDEX(Benchmark!$K$33:$K$62,MATCH($A30,Benchmark!$A$33:$A$62,0))="n/a","No official equivalent",INDEX(Benchmark!$J$33:$J$62,MATCH($A30,Benchmark!$A$33:$A$62,0))&amp;" - "&amp;INDEX(Benchmark!$K$33:$K$62,MATCH($A30,Benchmark!$A$33:$A$62,0))),"")</f>
        <v>Risk management and BCDMP - High</v>
      </c>
    </row>
    <row r="31" spans="1:12" ht="144" customHeight="1" x14ac:dyDescent="0.3">
      <c r="A31" s="11" t="s">
        <v>203</v>
      </c>
      <c r="B31" s="11" t="s">
        <v>375</v>
      </c>
      <c r="C31" s="7" t="s">
        <v>376</v>
      </c>
      <c r="D31" s="7" t="s">
        <v>377</v>
      </c>
      <c r="E31" s="7" t="s">
        <v>378</v>
      </c>
      <c r="F31" s="11" t="s">
        <v>315</v>
      </c>
      <c r="G31" s="7" t="s">
        <v>379</v>
      </c>
      <c r="H31" s="7" t="s">
        <v>367</v>
      </c>
      <c r="I31" s="11" t="s">
        <v>368</v>
      </c>
      <c r="J31" s="7" t="s">
        <v>369</v>
      </c>
      <c r="K31" s="11" t="s">
        <v>250</v>
      </c>
      <c r="L31" s="7" t="str">
        <f>IFERROR(IF(INDEX(Benchmark!$K$33:$K$62,MATCH($A31,Benchmark!$A$33:$A$62,0))="n/a","No official equivalent",INDEX(Benchmark!$J$33:$J$62,MATCH($A31,Benchmark!$A$33:$A$62,0))&amp;" - "&amp;INDEX(Benchmark!$K$33:$K$62,MATCH($A31,Benchmark!$A$33:$A$62,0))),"")</f>
        <v>Digitalisation, data privacy and cyber security - Very High</v>
      </c>
    </row>
    <row r="32" spans="1:12" ht="129.6" customHeight="1" x14ac:dyDescent="0.3">
      <c r="A32" s="11" t="s">
        <v>208</v>
      </c>
      <c r="B32" s="11" t="s">
        <v>380</v>
      </c>
      <c r="C32" s="7" t="s">
        <v>381</v>
      </c>
      <c r="D32" s="7" t="s">
        <v>382</v>
      </c>
      <c r="E32" s="7" t="s">
        <v>383</v>
      </c>
      <c r="F32" s="11" t="s">
        <v>315</v>
      </c>
      <c r="G32" s="7" t="s">
        <v>384</v>
      </c>
      <c r="H32" s="7" t="s">
        <v>359</v>
      </c>
      <c r="I32" s="11">
        <v>82</v>
      </c>
      <c r="J32" s="7" t="s">
        <v>361</v>
      </c>
      <c r="K32" s="11" t="s">
        <v>250</v>
      </c>
      <c r="L32" s="7" t="str">
        <f>IFERROR(IF(INDEX(Benchmark!$K$33:$K$62,MATCH($A32,Benchmark!$A$33:$A$62,0))="n/a","No official equivalent",INDEX(Benchmark!$J$33:$J$62,MATCH($A32,Benchmark!$A$33:$A$62,0))&amp;" - "&amp;INDEX(Benchmark!$K$33:$K$62,MATCH($A32,Benchmark!$A$33:$A$62,0))),"")</f>
        <v>Digitalisation, data privacy and cyber security - Very High</v>
      </c>
    </row>
    <row r="33" spans="1:12" ht="144" customHeight="1" x14ac:dyDescent="0.3">
      <c r="A33" s="11" t="s">
        <v>212</v>
      </c>
      <c r="B33" s="11" t="s">
        <v>385</v>
      </c>
      <c r="C33" s="7" t="s">
        <v>386</v>
      </c>
      <c r="D33" s="7" t="s">
        <v>387</v>
      </c>
      <c r="E33" s="7" t="s">
        <v>388</v>
      </c>
      <c r="F33" s="11" t="s">
        <v>246</v>
      </c>
      <c r="G33" s="7" t="s">
        <v>389</v>
      </c>
      <c r="H33" s="7" t="s">
        <v>390</v>
      </c>
      <c r="I33" s="11" t="s">
        <v>391</v>
      </c>
      <c r="J33" s="7" t="s">
        <v>353</v>
      </c>
      <c r="K33" s="11" t="s">
        <v>250</v>
      </c>
      <c r="L33" s="7" t="str">
        <f>IFERROR(IF(INDEX(Benchmark!$K$33:$K$62,MATCH($A33,Benchmark!$A$33:$A$62,0))="n/a","No official equivalent",INDEX(Benchmark!$J$33:$J$62,MATCH($A33,Benchmark!$A$33:$A$62,0))&amp;" - "&amp;INDEX(Benchmark!$K$33:$K$62,MATCH($A33,Benchmark!$A$33:$A$62,0))),"")</f>
        <v>Responsible supply chain - High</v>
      </c>
    </row>
    <row r="34" spans="1:12" ht="144" customHeight="1" x14ac:dyDescent="0.3">
      <c r="A34" s="11" t="s">
        <v>217</v>
      </c>
      <c r="B34" s="11" t="s">
        <v>392</v>
      </c>
      <c r="C34" s="7" t="s">
        <v>393</v>
      </c>
      <c r="D34" s="7" t="s">
        <v>394</v>
      </c>
      <c r="E34" s="7" t="s">
        <v>395</v>
      </c>
      <c r="F34" s="11" t="s">
        <v>246</v>
      </c>
      <c r="G34" s="7" t="s">
        <v>396</v>
      </c>
      <c r="H34" s="7" t="s">
        <v>359</v>
      </c>
      <c r="I34" s="11" t="s">
        <v>360</v>
      </c>
      <c r="J34" s="7" t="s">
        <v>361</v>
      </c>
      <c r="K34" s="11" t="s">
        <v>250</v>
      </c>
      <c r="L34" s="7" t="str">
        <f>IFERROR(IF(INDEX(Benchmark!$K$33:$K$62,MATCH($A34,Benchmark!$A$33:$A$62,0))="n/a","No official equivalent",INDEX(Benchmark!$J$33:$J$62,MATCH($A34,Benchmark!$A$33:$A$62,0))&amp;" - "&amp;INDEX(Benchmark!$K$33:$K$62,MATCH($A34,Benchmark!$A$33:$A$62,0))),"")</f>
        <v>Transparency and accountability - High</v>
      </c>
    </row>
    <row r="35" spans="1:12" ht="172.8" customHeight="1" x14ac:dyDescent="0.3">
      <c r="A35" s="11" t="s">
        <v>221</v>
      </c>
      <c r="B35" s="11" t="s">
        <v>397</v>
      </c>
      <c r="C35" s="7" t="s">
        <v>398</v>
      </c>
      <c r="D35" s="7" t="s">
        <v>399</v>
      </c>
      <c r="E35" s="7" t="s">
        <v>400</v>
      </c>
      <c r="F35" s="11" t="s">
        <v>246</v>
      </c>
      <c r="G35" s="7" t="s">
        <v>401</v>
      </c>
      <c r="H35" s="7" t="s">
        <v>359</v>
      </c>
      <c r="I35" s="11">
        <v>83</v>
      </c>
      <c r="J35" s="7" t="s">
        <v>361</v>
      </c>
      <c r="K35" s="11" t="s">
        <v>250</v>
      </c>
      <c r="L35" s="7" t="str">
        <f>IFERROR(IF(INDEX(Benchmark!$K$33:$K$62,MATCH($A35,Benchmark!$A$33:$A$62,0))="n/a","No official equivalent",INDEX(Benchmark!$J$33:$J$62,MATCH($A35,Benchmark!$A$33:$A$62,0))&amp;" - "&amp;INDEX(Benchmark!$K$33:$K$62,MATCH($A35,Benchmark!$A$33:$A$62,0))),"")</f>
        <v>Innovation and collaborations - High</v>
      </c>
    </row>
    <row r="36" spans="1:12" ht="201.6" customHeight="1" x14ac:dyDescent="0.3">
      <c r="A36" s="11" t="s">
        <v>226</v>
      </c>
      <c r="B36" s="11" t="s">
        <v>227</v>
      </c>
      <c r="C36" s="7" t="s">
        <v>402</v>
      </c>
      <c r="D36" s="7" t="s">
        <v>403</v>
      </c>
      <c r="E36" s="7" t="s">
        <v>404</v>
      </c>
      <c r="F36" s="11" t="s">
        <v>405</v>
      </c>
      <c r="G36" s="7" t="s">
        <v>406</v>
      </c>
      <c r="H36" s="7" t="s">
        <v>359</v>
      </c>
      <c r="I36" s="11" t="s">
        <v>360</v>
      </c>
      <c r="J36" s="7" t="s">
        <v>361</v>
      </c>
      <c r="K36" s="11" t="s">
        <v>250</v>
      </c>
      <c r="L36" s="7" t="str">
        <f>IFERROR(IF(INDEX(Benchmark!$K$33:$K$62,MATCH($A36,Benchmark!$A$33:$A$62,0))="n/a","No official equivalent",INDEX(Benchmark!$J$33:$J$62,MATCH($A36,Benchmark!$A$33:$A$62,0))&amp;" - "&amp;INDEX(Benchmark!$K$33:$K$62,MATCH($A36,Benchmark!$A$33:$A$62,0))),"")</f>
        <v>Creating economic value - Very High</v>
      </c>
    </row>
  </sheetData>
  <mergeCells count="2">
    <mergeCell ref="A1:L1"/>
    <mergeCell ref="A2:L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K32"/>
  <sheetViews>
    <sheetView workbookViewId="0">
      <selection activeCell="L23" sqref="L23"/>
    </sheetView>
  </sheetViews>
  <sheetFormatPr defaultRowHeight="14.4" x14ac:dyDescent="0.3"/>
  <cols>
    <col min="1" max="1" width="18.5546875" style="2" bestFit="1" customWidth="1"/>
    <col min="2" max="2" width="24.77734375" style="2" customWidth="1"/>
    <col min="3" max="3" width="49.21875" style="2" bestFit="1" customWidth="1"/>
    <col min="4" max="4" width="6.33203125" style="2" customWidth="1"/>
    <col min="5" max="5" width="14.77734375" style="2" customWidth="1"/>
    <col min="6" max="6" width="10.44140625" style="2" customWidth="1"/>
    <col min="7" max="7" width="13.33203125" style="2" customWidth="1"/>
    <col min="8" max="8" width="11.33203125" style="2" customWidth="1"/>
    <col min="9" max="9" width="13.6640625" style="2" customWidth="1"/>
    <col min="10" max="10" width="3.5546875" style="2" customWidth="1"/>
    <col min="11" max="11" width="1.21875" style="2" customWidth="1"/>
    <col min="12" max="16384" width="8.88671875" style="2"/>
  </cols>
  <sheetData>
    <row r="1" spans="1:11" ht="21" customHeight="1" x14ac:dyDescent="0.4">
      <c r="A1" s="163" t="s">
        <v>407</v>
      </c>
      <c r="B1" s="130"/>
      <c r="C1" s="130"/>
      <c r="D1" s="130"/>
      <c r="E1" s="130"/>
      <c r="F1" s="130"/>
      <c r="G1" s="130"/>
      <c r="H1" s="130"/>
      <c r="I1" s="131"/>
      <c r="K1" s="90"/>
    </row>
    <row r="2" spans="1:11" x14ac:dyDescent="0.3">
      <c r="K2" s="90"/>
    </row>
    <row r="3" spans="1:11" x14ac:dyDescent="0.3">
      <c r="A3" s="18" t="s">
        <v>408</v>
      </c>
      <c r="B3" s="18" t="s">
        <v>409</v>
      </c>
      <c r="C3" s="18" t="s">
        <v>410</v>
      </c>
      <c r="D3" s="19"/>
      <c r="E3" s="164" t="s">
        <v>411</v>
      </c>
      <c r="F3" s="130"/>
      <c r="G3" s="130"/>
      <c r="H3" s="130"/>
      <c r="I3" s="131"/>
      <c r="K3" s="90"/>
    </row>
    <row r="4" spans="1:11" x14ac:dyDescent="0.3">
      <c r="A4" s="20">
        <v>1</v>
      </c>
      <c r="B4" s="20" t="s">
        <v>412</v>
      </c>
      <c r="C4" s="20" t="s">
        <v>413</v>
      </c>
      <c r="D4" s="3"/>
      <c r="E4" s="16">
        <v>1</v>
      </c>
      <c r="F4" s="16">
        <v>2</v>
      </c>
      <c r="G4" s="16">
        <v>3</v>
      </c>
      <c r="H4" s="16">
        <v>4</v>
      </c>
      <c r="I4" s="16">
        <v>5</v>
      </c>
      <c r="K4" s="90"/>
    </row>
    <row r="5" spans="1:11" x14ac:dyDescent="0.3">
      <c r="A5" s="20">
        <v>2</v>
      </c>
      <c r="B5" s="20" t="s">
        <v>414</v>
      </c>
      <c r="C5" s="20" t="s">
        <v>415</v>
      </c>
      <c r="D5" s="3"/>
      <c r="E5" s="16">
        <v>0.6</v>
      </c>
      <c r="F5" s="16">
        <v>0.75</v>
      </c>
      <c r="G5" s="16">
        <v>0.85</v>
      </c>
      <c r="H5" s="16">
        <v>0.95</v>
      </c>
      <c r="I5" s="16">
        <v>1</v>
      </c>
      <c r="K5" s="90"/>
    </row>
    <row r="6" spans="1:11" x14ac:dyDescent="0.3">
      <c r="A6" s="20">
        <v>3</v>
      </c>
      <c r="B6" s="20" t="s">
        <v>416</v>
      </c>
      <c r="C6" s="20" t="s">
        <v>417</v>
      </c>
      <c r="D6" s="3"/>
      <c r="F6" s="21"/>
      <c r="G6" s="8"/>
      <c r="H6" s="8"/>
      <c r="K6" s="90"/>
    </row>
    <row r="7" spans="1:11" x14ac:dyDescent="0.3">
      <c r="A7" s="20">
        <v>4</v>
      </c>
      <c r="B7" s="20" t="s">
        <v>250</v>
      </c>
      <c r="C7" s="20" t="s">
        <v>418</v>
      </c>
      <c r="D7" s="3"/>
      <c r="E7" s="165" t="s">
        <v>419</v>
      </c>
      <c r="F7" s="121"/>
      <c r="G7" s="121"/>
      <c r="H7" s="121"/>
      <c r="I7" s="121"/>
      <c r="K7" s="90"/>
    </row>
    <row r="8" spans="1:11" x14ac:dyDescent="0.3">
      <c r="A8" s="20">
        <v>5</v>
      </c>
      <c r="B8" s="20" t="s">
        <v>420</v>
      </c>
      <c r="C8" s="20" t="s">
        <v>421</v>
      </c>
      <c r="D8" s="3"/>
      <c r="E8" s="166" t="s">
        <v>422</v>
      </c>
      <c r="F8" s="160"/>
      <c r="G8" s="160"/>
      <c r="H8" s="160"/>
      <c r="I8" s="160"/>
      <c r="K8" s="90"/>
    </row>
    <row r="9" spans="1:11" x14ac:dyDescent="0.3">
      <c r="K9" s="90"/>
    </row>
    <row r="10" spans="1:11" x14ac:dyDescent="0.3">
      <c r="E10" s="22" t="s">
        <v>423</v>
      </c>
      <c r="F10" s="23" t="s">
        <v>424</v>
      </c>
      <c r="G10" s="23" t="s">
        <v>425</v>
      </c>
      <c r="H10" s="23" t="s">
        <v>426</v>
      </c>
      <c r="I10" s="23" t="s">
        <v>427</v>
      </c>
      <c r="K10" s="90"/>
    </row>
    <row r="11" spans="1:11" x14ac:dyDescent="0.3">
      <c r="A11" s="18" t="s">
        <v>428</v>
      </c>
      <c r="B11" s="18" t="s">
        <v>409</v>
      </c>
      <c r="C11" s="18" t="s">
        <v>410</v>
      </c>
      <c r="E11" s="22" t="s">
        <v>409</v>
      </c>
      <c r="F11" s="23" t="s">
        <v>414</v>
      </c>
      <c r="G11" s="23" t="s">
        <v>416</v>
      </c>
      <c r="H11" s="23" t="s">
        <v>250</v>
      </c>
      <c r="I11" s="23" t="s">
        <v>420</v>
      </c>
      <c r="K11" s="90"/>
    </row>
    <row r="12" spans="1:11" x14ac:dyDescent="0.3">
      <c r="A12" s="24">
        <v>1</v>
      </c>
      <c r="B12" s="25" t="s">
        <v>429</v>
      </c>
      <c r="C12" s="25" t="s">
        <v>430</v>
      </c>
      <c r="K12" s="90"/>
    </row>
    <row r="13" spans="1:11" x14ac:dyDescent="0.3">
      <c r="A13" s="24">
        <v>2</v>
      </c>
      <c r="B13" s="25" t="s">
        <v>431</v>
      </c>
      <c r="C13" s="25" t="s">
        <v>432</v>
      </c>
      <c r="K13" s="90"/>
    </row>
    <row r="14" spans="1:11" x14ac:dyDescent="0.3">
      <c r="A14" s="24">
        <v>3</v>
      </c>
      <c r="B14" s="25" t="s">
        <v>433</v>
      </c>
      <c r="C14" s="25" t="s">
        <v>434</v>
      </c>
      <c r="K14" s="90"/>
    </row>
    <row r="15" spans="1:11" x14ac:dyDescent="0.3">
      <c r="A15" s="24">
        <v>4</v>
      </c>
      <c r="B15" s="25" t="s">
        <v>435</v>
      </c>
      <c r="C15" s="25" t="s">
        <v>436</v>
      </c>
      <c r="K15" s="90"/>
    </row>
    <row r="16" spans="1:11" x14ac:dyDescent="0.3">
      <c r="A16" s="24">
        <v>5</v>
      </c>
      <c r="B16" s="25" t="s">
        <v>437</v>
      </c>
      <c r="C16" s="25" t="s">
        <v>438</v>
      </c>
      <c r="K16" s="90"/>
    </row>
    <row r="17" spans="1:11" x14ac:dyDescent="0.3">
      <c r="K17" s="90"/>
    </row>
    <row r="18" spans="1:11" x14ac:dyDescent="0.3">
      <c r="A18" s="18" t="s">
        <v>439</v>
      </c>
      <c r="B18" s="18" t="s">
        <v>409</v>
      </c>
      <c r="C18" s="18" t="s">
        <v>410</v>
      </c>
      <c r="K18" s="90"/>
    </row>
    <row r="19" spans="1:11" x14ac:dyDescent="0.3">
      <c r="A19" s="26">
        <v>1</v>
      </c>
      <c r="B19" s="27" t="s">
        <v>440</v>
      </c>
      <c r="C19" s="27" t="s">
        <v>441</v>
      </c>
      <c r="K19" s="90"/>
    </row>
    <row r="20" spans="1:11" x14ac:dyDescent="0.3">
      <c r="A20" s="26">
        <v>2</v>
      </c>
      <c r="B20" s="27" t="s">
        <v>442</v>
      </c>
      <c r="C20" s="27" t="s">
        <v>443</v>
      </c>
      <c r="K20" s="90"/>
    </row>
    <row r="21" spans="1:11" x14ac:dyDescent="0.3">
      <c r="A21" s="26">
        <v>3</v>
      </c>
      <c r="B21" s="27" t="s">
        <v>444</v>
      </c>
      <c r="C21" s="27" t="s">
        <v>445</v>
      </c>
      <c r="K21" s="90"/>
    </row>
    <row r="22" spans="1:11" x14ac:dyDescent="0.3">
      <c r="A22" s="26">
        <v>4</v>
      </c>
      <c r="B22" s="27" t="s">
        <v>446</v>
      </c>
      <c r="C22" s="27" t="s">
        <v>447</v>
      </c>
      <c r="K22" s="90"/>
    </row>
    <row r="23" spans="1:11" x14ac:dyDescent="0.3">
      <c r="A23" s="26">
        <v>5</v>
      </c>
      <c r="B23" s="27" t="s">
        <v>448</v>
      </c>
      <c r="C23" s="27" t="s">
        <v>449</v>
      </c>
      <c r="K23" s="90"/>
    </row>
    <row r="24" spans="1:11" x14ac:dyDescent="0.3">
      <c r="K24" s="90"/>
    </row>
    <row r="25" spans="1:11" x14ac:dyDescent="0.3">
      <c r="A25" s="18" t="s">
        <v>450</v>
      </c>
      <c r="B25" s="18" t="s">
        <v>409</v>
      </c>
      <c r="C25" s="18" t="s">
        <v>410</v>
      </c>
      <c r="K25" s="90"/>
    </row>
    <row r="26" spans="1:11" x14ac:dyDescent="0.3">
      <c r="A26" s="28">
        <v>1</v>
      </c>
      <c r="B26" s="29" t="s">
        <v>451</v>
      </c>
      <c r="C26" s="29" t="s">
        <v>452</v>
      </c>
      <c r="K26" s="90"/>
    </row>
    <row r="27" spans="1:11" x14ac:dyDescent="0.3">
      <c r="A27" s="28">
        <v>2</v>
      </c>
      <c r="B27" s="29" t="s">
        <v>453</v>
      </c>
      <c r="C27" s="29" t="s">
        <v>454</v>
      </c>
      <c r="K27" s="90"/>
    </row>
    <row r="28" spans="1:11" x14ac:dyDescent="0.3">
      <c r="A28" s="28">
        <v>3</v>
      </c>
      <c r="B28" s="29" t="s">
        <v>416</v>
      </c>
      <c r="C28" s="29" t="s">
        <v>455</v>
      </c>
      <c r="K28" s="90"/>
    </row>
    <row r="29" spans="1:11" x14ac:dyDescent="0.3">
      <c r="A29" s="28">
        <v>4</v>
      </c>
      <c r="B29" s="29" t="s">
        <v>456</v>
      </c>
      <c r="C29" s="29" t="s">
        <v>457</v>
      </c>
      <c r="K29" s="90"/>
    </row>
    <row r="30" spans="1:11" x14ac:dyDescent="0.3">
      <c r="A30" s="28">
        <v>5</v>
      </c>
      <c r="B30" s="29" t="s">
        <v>458</v>
      </c>
      <c r="C30" s="29" t="s">
        <v>459</v>
      </c>
      <c r="K30" s="90"/>
    </row>
    <row r="31" spans="1:11" x14ac:dyDescent="0.3">
      <c r="K31" s="90"/>
    </row>
    <row r="32" spans="1:11" ht="6.6" customHeight="1" x14ac:dyDescent="0.3">
      <c r="A32" s="90"/>
      <c r="B32" s="90"/>
      <c r="C32" s="90"/>
      <c r="D32" s="90"/>
      <c r="E32" s="90"/>
      <c r="F32" s="90"/>
      <c r="G32" s="90"/>
      <c r="H32" s="90"/>
      <c r="I32" s="90"/>
      <c r="J32" s="90"/>
      <c r="K32" s="90"/>
    </row>
  </sheetData>
  <mergeCells count="4">
    <mergeCell ref="A1:I1"/>
    <mergeCell ref="E3:I3"/>
    <mergeCell ref="E7:I7"/>
    <mergeCell ref="E8:I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T34"/>
  <sheetViews>
    <sheetView zoomScale="82" workbookViewId="0">
      <selection activeCell="E5" sqref="E5"/>
    </sheetView>
  </sheetViews>
  <sheetFormatPr defaultRowHeight="14.4" x14ac:dyDescent="0.3"/>
  <cols>
    <col min="2" max="2" width="14.21875" customWidth="1"/>
    <col min="3" max="3" width="24.77734375" style="2" customWidth="1"/>
    <col min="4" max="4" width="36.33203125" customWidth="1"/>
    <col min="5" max="5" width="21" bestFit="1" customWidth="1"/>
    <col min="6" max="6" width="8.77734375" customWidth="1"/>
    <col min="7" max="7" width="16.5546875" customWidth="1"/>
    <col min="8" max="8" width="15" customWidth="1"/>
    <col min="9" max="9" width="12" customWidth="1"/>
    <col min="10" max="10" width="17.77734375" customWidth="1"/>
    <col min="11" max="11" width="12.77734375" customWidth="1"/>
    <col min="12" max="13" width="21.88671875" customWidth="1"/>
  </cols>
  <sheetData>
    <row r="1" spans="1:20" ht="21" customHeight="1" x14ac:dyDescent="0.4">
      <c r="A1" s="169" t="s">
        <v>460</v>
      </c>
      <c r="B1" s="170"/>
      <c r="C1" s="170"/>
      <c r="D1" s="170"/>
      <c r="E1" s="170"/>
      <c r="F1" s="170"/>
      <c r="G1" s="170"/>
      <c r="H1" s="170"/>
      <c r="I1" s="170"/>
      <c r="J1" s="170"/>
      <c r="K1" s="170"/>
      <c r="L1" s="170"/>
      <c r="M1" s="170"/>
    </row>
    <row r="2" spans="1:20" ht="21" customHeight="1" x14ac:dyDescent="0.35">
      <c r="A2" s="167" t="s">
        <v>461</v>
      </c>
      <c r="B2" s="168"/>
      <c r="C2" s="168"/>
      <c r="D2" s="168"/>
      <c r="E2" s="168"/>
      <c r="F2" s="168"/>
      <c r="G2" s="168"/>
      <c r="H2" s="168"/>
      <c r="I2" s="168"/>
      <c r="J2" s="168"/>
      <c r="K2" s="168"/>
      <c r="L2" s="168"/>
      <c r="M2" s="168"/>
    </row>
    <row r="3" spans="1:20" ht="21" customHeight="1" x14ac:dyDescent="0.3">
      <c r="A3" s="57"/>
      <c r="B3" s="57"/>
      <c r="C3" s="57"/>
      <c r="D3" s="57"/>
      <c r="E3" s="57"/>
      <c r="F3" s="57"/>
      <c r="G3" s="57"/>
      <c r="H3" s="57"/>
      <c r="I3" s="57"/>
      <c r="J3" s="57"/>
      <c r="K3" s="57"/>
      <c r="L3" s="57"/>
      <c r="M3" s="57"/>
    </row>
    <row r="4" spans="1:20" ht="31.2" customHeight="1" x14ac:dyDescent="0.3">
      <c r="A4" s="34" t="s">
        <v>36</v>
      </c>
      <c r="B4" s="34" t="s">
        <v>37</v>
      </c>
      <c r="C4" s="34" t="s">
        <v>85</v>
      </c>
      <c r="D4" s="34" t="s">
        <v>462</v>
      </c>
      <c r="E4" s="34" t="s">
        <v>463</v>
      </c>
      <c r="F4" s="34" t="s">
        <v>464</v>
      </c>
      <c r="G4" s="34" t="s">
        <v>465</v>
      </c>
      <c r="H4" s="34" t="s">
        <v>466</v>
      </c>
      <c r="I4" s="34" t="s">
        <v>467</v>
      </c>
      <c r="J4" s="34" t="s">
        <v>423</v>
      </c>
      <c r="K4" s="34" t="s">
        <v>468</v>
      </c>
      <c r="L4" s="34" t="s">
        <v>469</v>
      </c>
      <c r="M4" s="34" t="s">
        <v>470</v>
      </c>
    </row>
    <row r="5" spans="1:20" ht="57.6" customHeight="1" x14ac:dyDescent="0.3">
      <c r="A5" s="11" t="s">
        <v>89</v>
      </c>
      <c r="B5" s="7" t="s">
        <v>8</v>
      </c>
      <c r="C5" s="7" t="s">
        <v>90</v>
      </c>
      <c r="D5" s="7" t="s">
        <v>471</v>
      </c>
      <c r="E5" s="7" t="s">
        <v>472</v>
      </c>
      <c r="F5" s="31">
        <v>5</v>
      </c>
      <c r="G5" s="31">
        <v>5</v>
      </c>
      <c r="H5" s="31">
        <v>5</v>
      </c>
      <c r="I5" s="31">
        <v>5</v>
      </c>
      <c r="J5" s="30">
        <f>AVERAGE(F5:H5)*CHOOSE(I5,0.6,0.75,0.85,0.95,1)</f>
        <v>5</v>
      </c>
      <c r="K5" s="32" t="str">
        <f t="shared" ref="K5:K34" si="0">IF(J5&gt;=4,"Very High",IF(J5&gt;=3,"High",IF(J5&gt;=2,"Moderate","Low")))</f>
        <v>Very High</v>
      </c>
      <c r="L5" s="7" t="s">
        <v>473</v>
      </c>
      <c r="M5" s="7" t="s">
        <v>474</v>
      </c>
      <c r="Q5" s="5"/>
      <c r="R5" s="5"/>
      <c r="S5" s="5"/>
      <c r="T5" s="5"/>
    </row>
    <row r="6" spans="1:20" ht="43.2" customHeight="1" x14ac:dyDescent="0.3">
      <c r="A6" s="11" t="s">
        <v>94</v>
      </c>
      <c r="B6" s="7" t="s">
        <v>8</v>
      </c>
      <c r="C6" s="7" t="s">
        <v>95</v>
      </c>
      <c r="D6" s="7" t="s">
        <v>475</v>
      </c>
      <c r="E6" s="7" t="s">
        <v>476</v>
      </c>
      <c r="F6" s="31">
        <v>5</v>
      </c>
      <c r="G6" s="31">
        <v>5</v>
      </c>
      <c r="H6" s="31">
        <v>5</v>
      </c>
      <c r="I6" s="31">
        <v>5</v>
      </c>
      <c r="J6" s="30">
        <f t="shared" ref="J6:J34" si="1">AVERAGE(F6:H6)*CHOOSE(I6,0.6,0.75,0.85,0.95,1)</f>
        <v>5</v>
      </c>
      <c r="K6" s="32" t="str">
        <f t="shared" si="0"/>
        <v>Very High</v>
      </c>
      <c r="L6" s="7" t="s">
        <v>477</v>
      </c>
      <c r="M6" s="7" t="s">
        <v>474</v>
      </c>
      <c r="Q6" s="1"/>
      <c r="R6" s="1"/>
      <c r="S6" s="1"/>
      <c r="T6" s="1"/>
    </row>
    <row r="7" spans="1:20" ht="57.6" customHeight="1" x14ac:dyDescent="0.3">
      <c r="A7" s="11" t="s">
        <v>99</v>
      </c>
      <c r="B7" s="7" t="s">
        <v>8</v>
      </c>
      <c r="C7" s="7" t="s">
        <v>100</v>
      </c>
      <c r="D7" s="7" t="s">
        <v>478</v>
      </c>
      <c r="E7" s="7" t="s">
        <v>479</v>
      </c>
      <c r="F7" s="31">
        <v>3</v>
      </c>
      <c r="G7" s="31">
        <v>4</v>
      </c>
      <c r="H7" s="31">
        <v>3</v>
      </c>
      <c r="I7" s="31">
        <v>5</v>
      </c>
      <c r="J7" s="30">
        <f t="shared" si="1"/>
        <v>3.3333333333333335</v>
      </c>
      <c r="K7" s="32" t="str">
        <f t="shared" si="0"/>
        <v>High</v>
      </c>
      <c r="L7" s="7" t="s">
        <v>480</v>
      </c>
      <c r="M7" s="7" t="s">
        <v>474</v>
      </c>
    </row>
    <row r="8" spans="1:20" ht="72" customHeight="1" x14ac:dyDescent="0.3">
      <c r="A8" s="11" t="s">
        <v>104</v>
      </c>
      <c r="B8" s="7" t="s">
        <v>8</v>
      </c>
      <c r="C8" s="7" t="s">
        <v>105</v>
      </c>
      <c r="D8" s="7" t="s">
        <v>481</v>
      </c>
      <c r="E8" s="7" t="s">
        <v>482</v>
      </c>
      <c r="F8" s="31">
        <v>5</v>
      </c>
      <c r="G8" s="31">
        <v>4</v>
      </c>
      <c r="H8" s="31">
        <v>4</v>
      </c>
      <c r="I8" s="31">
        <v>4</v>
      </c>
      <c r="J8" s="30">
        <f t="shared" si="1"/>
        <v>4.1166666666666663</v>
      </c>
      <c r="K8" s="32" t="str">
        <f t="shared" si="0"/>
        <v>Very High</v>
      </c>
      <c r="L8" s="7" t="s">
        <v>483</v>
      </c>
      <c r="M8" s="7" t="s">
        <v>474</v>
      </c>
    </row>
    <row r="9" spans="1:20" ht="72" customHeight="1" x14ac:dyDescent="0.3">
      <c r="A9" s="11" t="s">
        <v>109</v>
      </c>
      <c r="B9" s="7" t="s">
        <v>8</v>
      </c>
      <c r="C9" s="7" t="s">
        <v>263</v>
      </c>
      <c r="D9" s="7" t="s">
        <v>484</v>
      </c>
      <c r="E9" s="7" t="s">
        <v>485</v>
      </c>
      <c r="F9" s="31">
        <v>4</v>
      </c>
      <c r="G9" s="31">
        <v>4</v>
      </c>
      <c r="H9" s="31">
        <v>4</v>
      </c>
      <c r="I9" s="31">
        <v>4</v>
      </c>
      <c r="J9" s="30">
        <f t="shared" si="1"/>
        <v>3.8</v>
      </c>
      <c r="K9" s="32" t="str">
        <f t="shared" si="0"/>
        <v>High</v>
      </c>
      <c r="L9" s="7" t="s">
        <v>486</v>
      </c>
      <c r="M9" s="7" t="s">
        <v>487</v>
      </c>
    </row>
    <row r="10" spans="1:20" ht="72" customHeight="1" x14ac:dyDescent="0.3">
      <c r="A10" s="11" t="s">
        <v>114</v>
      </c>
      <c r="B10" s="7" t="s">
        <v>8</v>
      </c>
      <c r="C10" s="7" t="s">
        <v>115</v>
      </c>
      <c r="D10" s="7" t="s">
        <v>488</v>
      </c>
      <c r="E10" s="7" t="s">
        <v>489</v>
      </c>
      <c r="F10" s="31">
        <v>4</v>
      </c>
      <c r="G10" s="31">
        <v>4</v>
      </c>
      <c r="H10" s="31">
        <v>5</v>
      </c>
      <c r="I10" s="31">
        <v>3</v>
      </c>
      <c r="J10" s="30">
        <f t="shared" si="1"/>
        <v>3.6833333333333331</v>
      </c>
      <c r="K10" s="32" t="str">
        <f t="shared" si="0"/>
        <v>High</v>
      </c>
      <c r="L10" s="7" t="s">
        <v>490</v>
      </c>
      <c r="M10" s="7" t="s">
        <v>491</v>
      </c>
    </row>
    <row r="11" spans="1:20" ht="57.6" customHeight="1" x14ac:dyDescent="0.3">
      <c r="A11" s="11" t="s">
        <v>119</v>
      </c>
      <c r="B11" s="7" t="s">
        <v>8</v>
      </c>
      <c r="C11" s="7" t="s">
        <v>120</v>
      </c>
      <c r="D11" s="7" t="s">
        <v>492</v>
      </c>
      <c r="E11" s="7" t="s">
        <v>493</v>
      </c>
      <c r="F11" s="31">
        <v>3</v>
      </c>
      <c r="G11" s="31">
        <v>4</v>
      </c>
      <c r="H11" s="31">
        <v>3</v>
      </c>
      <c r="I11" s="31">
        <v>4</v>
      </c>
      <c r="J11" s="30">
        <f t="shared" si="1"/>
        <v>3.1666666666666665</v>
      </c>
      <c r="K11" s="32" t="str">
        <f t="shared" si="0"/>
        <v>High</v>
      </c>
      <c r="L11" s="7" t="s">
        <v>494</v>
      </c>
      <c r="M11" s="7" t="s">
        <v>491</v>
      </c>
    </row>
    <row r="12" spans="1:20" ht="57.6" customHeight="1" x14ac:dyDescent="0.3">
      <c r="A12" s="11" t="s">
        <v>124</v>
      </c>
      <c r="B12" s="7" t="s">
        <v>8</v>
      </c>
      <c r="C12" s="7" t="s">
        <v>125</v>
      </c>
      <c r="D12" s="7" t="s">
        <v>495</v>
      </c>
      <c r="E12" s="7" t="s">
        <v>496</v>
      </c>
      <c r="F12" s="31">
        <v>4</v>
      </c>
      <c r="G12" s="31">
        <v>4</v>
      </c>
      <c r="H12" s="31">
        <v>3</v>
      </c>
      <c r="I12" s="31">
        <v>4</v>
      </c>
      <c r="J12" s="30">
        <f t="shared" si="1"/>
        <v>3.4833333333333329</v>
      </c>
      <c r="K12" s="32" t="str">
        <f t="shared" si="0"/>
        <v>High</v>
      </c>
      <c r="L12" s="7" t="s">
        <v>497</v>
      </c>
      <c r="M12" s="7" t="s">
        <v>491</v>
      </c>
    </row>
    <row r="13" spans="1:20" ht="72" customHeight="1" x14ac:dyDescent="0.3">
      <c r="A13" s="11" t="s">
        <v>128</v>
      </c>
      <c r="B13" s="7" t="s">
        <v>8</v>
      </c>
      <c r="C13" s="7" t="s">
        <v>129</v>
      </c>
      <c r="D13" s="7" t="s">
        <v>498</v>
      </c>
      <c r="E13" s="7" t="s">
        <v>499</v>
      </c>
      <c r="F13" s="31">
        <v>3</v>
      </c>
      <c r="G13" s="31">
        <v>4</v>
      </c>
      <c r="H13" s="31">
        <v>4</v>
      </c>
      <c r="I13" s="31">
        <v>3</v>
      </c>
      <c r="J13" s="30">
        <f t="shared" si="1"/>
        <v>3.1166666666666663</v>
      </c>
      <c r="K13" s="32" t="str">
        <f t="shared" si="0"/>
        <v>High</v>
      </c>
      <c r="L13" s="7" t="s">
        <v>500</v>
      </c>
      <c r="M13" s="7" t="s">
        <v>487</v>
      </c>
    </row>
    <row r="14" spans="1:20" ht="72" customHeight="1" x14ac:dyDescent="0.3">
      <c r="A14" s="11" t="s">
        <v>132</v>
      </c>
      <c r="B14" s="7" t="s">
        <v>8</v>
      </c>
      <c r="C14" s="7" t="s">
        <v>133</v>
      </c>
      <c r="D14" s="7" t="s">
        <v>501</v>
      </c>
      <c r="E14" s="7" t="s">
        <v>502</v>
      </c>
      <c r="F14" s="31">
        <v>3</v>
      </c>
      <c r="G14" s="31">
        <v>4</v>
      </c>
      <c r="H14" s="31">
        <v>3</v>
      </c>
      <c r="I14" s="31">
        <v>4</v>
      </c>
      <c r="J14" s="30">
        <f t="shared" si="1"/>
        <v>3.1666666666666665</v>
      </c>
      <c r="K14" s="32" t="str">
        <f t="shared" si="0"/>
        <v>High</v>
      </c>
      <c r="L14" s="7" t="s">
        <v>503</v>
      </c>
      <c r="M14" s="7" t="s">
        <v>491</v>
      </c>
    </row>
    <row r="15" spans="1:20" ht="57.6" customHeight="1" x14ac:dyDescent="0.3">
      <c r="A15" s="11" t="s">
        <v>137</v>
      </c>
      <c r="B15" s="7" t="s">
        <v>9</v>
      </c>
      <c r="C15" s="7" t="s">
        <v>138</v>
      </c>
      <c r="D15" s="7" t="s">
        <v>504</v>
      </c>
      <c r="E15" s="7" t="s">
        <v>505</v>
      </c>
      <c r="F15" s="31">
        <v>5</v>
      </c>
      <c r="G15" s="31">
        <v>4</v>
      </c>
      <c r="H15" s="31">
        <v>5</v>
      </c>
      <c r="I15" s="31">
        <v>4</v>
      </c>
      <c r="J15" s="30">
        <f t="shared" si="1"/>
        <v>4.4333333333333336</v>
      </c>
      <c r="K15" s="32" t="str">
        <f t="shared" si="0"/>
        <v>Very High</v>
      </c>
      <c r="L15" s="7" t="s">
        <v>506</v>
      </c>
      <c r="M15" s="7" t="s">
        <v>507</v>
      </c>
    </row>
    <row r="16" spans="1:20" ht="57.6" customHeight="1" x14ac:dyDescent="0.3">
      <c r="A16" s="11" t="s">
        <v>142</v>
      </c>
      <c r="B16" s="7" t="s">
        <v>9</v>
      </c>
      <c r="C16" s="7" t="s">
        <v>508</v>
      </c>
      <c r="D16" s="7" t="s">
        <v>509</v>
      </c>
      <c r="E16" s="7" t="s">
        <v>510</v>
      </c>
      <c r="F16" s="31">
        <v>3</v>
      </c>
      <c r="G16" s="31">
        <v>4</v>
      </c>
      <c r="H16" s="31">
        <v>3</v>
      </c>
      <c r="I16" s="31">
        <v>4</v>
      </c>
      <c r="J16" s="30">
        <f t="shared" si="1"/>
        <v>3.1666666666666665</v>
      </c>
      <c r="K16" s="32" t="str">
        <f t="shared" si="0"/>
        <v>High</v>
      </c>
      <c r="L16" s="7" t="s">
        <v>511</v>
      </c>
      <c r="M16" s="7" t="s">
        <v>512</v>
      </c>
    </row>
    <row r="17" spans="1:13" ht="57.6" customHeight="1" x14ac:dyDescent="0.3">
      <c r="A17" s="11" t="s">
        <v>147</v>
      </c>
      <c r="B17" s="7" t="s">
        <v>9</v>
      </c>
      <c r="C17" s="7" t="s">
        <v>148</v>
      </c>
      <c r="D17" s="7" t="s">
        <v>513</v>
      </c>
      <c r="E17" s="7" t="s">
        <v>514</v>
      </c>
      <c r="F17" s="31">
        <v>3</v>
      </c>
      <c r="G17" s="31">
        <v>4</v>
      </c>
      <c r="H17" s="31">
        <v>3</v>
      </c>
      <c r="I17" s="31">
        <v>4</v>
      </c>
      <c r="J17" s="30">
        <f t="shared" si="1"/>
        <v>3.1666666666666665</v>
      </c>
      <c r="K17" s="32" t="str">
        <f t="shared" si="0"/>
        <v>High</v>
      </c>
      <c r="L17" s="7" t="s">
        <v>515</v>
      </c>
      <c r="M17" s="7" t="s">
        <v>512</v>
      </c>
    </row>
    <row r="18" spans="1:13" ht="72" customHeight="1" x14ac:dyDescent="0.3">
      <c r="A18" s="11" t="s">
        <v>151</v>
      </c>
      <c r="B18" s="7" t="s">
        <v>9</v>
      </c>
      <c r="C18" s="7" t="s">
        <v>152</v>
      </c>
      <c r="D18" s="7" t="s">
        <v>516</v>
      </c>
      <c r="E18" s="7" t="s">
        <v>517</v>
      </c>
      <c r="F18" s="31">
        <v>3</v>
      </c>
      <c r="G18" s="31">
        <v>4</v>
      </c>
      <c r="H18" s="31">
        <v>2</v>
      </c>
      <c r="I18" s="31">
        <v>4</v>
      </c>
      <c r="J18" s="30">
        <f t="shared" si="1"/>
        <v>2.8499999999999996</v>
      </c>
      <c r="K18" s="33" t="str">
        <f t="shared" si="0"/>
        <v>Moderate</v>
      </c>
      <c r="L18" s="7" t="s">
        <v>518</v>
      </c>
      <c r="M18" s="7" t="s">
        <v>512</v>
      </c>
    </row>
    <row r="19" spans="1:13" ht="57.6" customHeight="1" x14ac:dyDescent="0.3">
      <c r="A19" s="11" t="s">
        <v>156</v>
      </c>
      <c r="B19" s="7" t="s">
        <v>9</v>
      </c>
      <c r="C19" s="7" t="s">
        <v>519</v>
      </c>
      <c r="D19" s="7" t="s">
        <v>520</v>
      </c>
      <c r="E19" s="7" t="s">
        <v>505</v>
      </c>
      <c r="F19" s="31">
        <v>4</v>
      </c>
      <c r="G19" s="31">
        <v>4</v>
      </c>
      <c r="H19" s="31">
        <v>4</v>
      </c>
      <c r="I19" s="31">
        <v>3</v>
      </c>
      <c r="J19" s="30">
        <f t="shared" si="1"/>
        <v>3.4</v>
      </c>
      <c r="K19" s="32" t="str">
        <f t="shared" si="0"/>
        <v>High</v>
      </c>
      <c r="L19" s="7" t="s">
        <v>521</v>
      </c>
      <c r="M19" s="7" t="s">
        <v>522</v>
      </c>
    </row>
    <row r="20" spans="1:13" ht="57.6" customHeight="1" x14ac:dyDescent="0.3">
      <c r="A20" s="11" t="s">
        <v>160</v>
      </c>
      <c r="B20" s="7" t="s">
        <v>9</v>
      </c>
      <c r="C20" s="7" t="s">
        <v>161</v>
      </c>
      <c r="D20" s="7" t="s">
        <v>523</v>
      </c>
      <c r="E20" s="7" t="s">
        <v>524</v>
      </c>
      <c r="F20" s="31">
        <v>5</v>
      </c>
      <c r="G20" s="31">
        <v>4</v>
      </c>
      <c r="H20" s="31">
        <v>5</v>
      </c>
      <c r="I20" s="31">
        <v>3</v>
      </c>
      <c r="J20" s="30">
        <f t="shared" si="1"/>
        <v>3.9666666666666668</v>
      </c>
      <c r="K20" s="32" t="str">
        <f t="shared" si="0"/>
        <v>High</v>
      </c>
      <c r="L20" s="7" t="s">
        <v>525</v>
      </c>
      <c r="M20" s="7" t="s">
        <v>522</v>
      </c>
    </row>
    <row r="21" spans="1:13" ht="57.6" customHeight="1" x14ac:dyDescent="0.3">
      <c r="A21" s="11" t="s">
        <v>165</v>
      </c>
      <c r="B21" s="7" t="s">
        <v>9</v>
      </c>
      <c r="C21" s="7" t="s">
        <v>166</v>
      </c>
      <c r="D21" s="7" t="s">
        <v>526</v>
      </c>
      <c r="E21" s="7" t="s">
        <v>527</v>
      </c>
      <c r="F21" s="31">
        <v>4</v>
      </c>
      <c r="G21" s="31">
        <v>5</v>
      </c>
      <c r="H21" s="31">
        <v>4</v>
      </c>
      <c r="I21" s="31">
        <v>4</v>
      </c>
      <c r="J21" s="30">
        <f t="shared" si="1"/>
        <v>4.1166666666666663</v>
      </c>
      <c r="K21" s="32" t="str">
        <f t="shared" si="0"/>
        <v>Very High</v>
      </c>
      <c r="L21" s="7" t="s">
        <v>528</v>
      </c>
      <c r="M21" s="7" t="s">
        <v>529</v>
      </c>
    </row>
    <row r="22" spans="1:13" ht="72" customHeight="1" x14ac:dyDescent="0.3">
      <c r="A22" s="11" t="s">
        <v>170</v>
      </c>
      <c r="B22" s="7" t="s">
        <v>9</v>
      </c>
      <c r="C22" s="7" t="s">
        <v>171</v>
      </c>
      <c r="D22" s="7" t="s">
        <v>530</v>
      </c>
      <c r="E22" s="7" t="s">
        <v>531</v>
      </c>
      <c r="F22" s="31">
        <v>4</v>
      </c>
      <c r="G22" s="31">
        <v>5</v>
      </c>
      <c r="H22" s="31">
        <v>4</v>
      </c>
      <c r="I22" s="31">
        <v>4</v>
      </c>
      <c r="J22" s="30">
        <f t="shared" si="1"/>
        <v>4.1166666666666663</v>
      </c>
      <c r="K22" s="32" t="str">
        <f t="shared" si="0"/>
        <v>Very High</v>
      </c>
      <c r="L22" s="7" t="s">
        <v>532</v>
      </c>
      <c r="M22" s="7" t="s">
        <v>522</v>
      </c>
    </row>
    <row r="23" spans="1:13" ht="57.6" customHeight="1" x14ac:dyDescent="0.3">
      <c r="A23" s="11" t="s">
        <v>175</v>
      </c>
      <c r="B23" s="7" t="s">
        <v>9</v>
      </c>
      <c r="C23" s="7" t="s">
        <v>533</v>
      </c>
      <c r="D23" s="7" t="s">
        <v>534</v>
      </c>
      <c r="E23" s="7" t="s">
        <v>535</v>
      </c>
      <c r="F23" s="31">
        <v>3</v>
      </c>
      <c r="G23" s="31">
        <v>5</v>
      </c>
      <c r="H23" s="31">
        <v>3</v>
      </c>
      <c r="I23" s="31">
        <v>4</v>
      </c>
      <c r="J23" s="30">
        <f t="shared" si="1"/>
        <v>3.4833333333333329</v>
      </c>
      <c r="K23" s="32" t="str">
        <f t="shared" si="0"/>
        <v>High</v>
      </c>
      <c r="L23" s="7" t="s">
        <v>536</v>
      </c>
      <c r="M23" s="7" t="s">
        <v>537</v>
      </c>
    </row>
    <row r="24" spans="1:13" ht="57.6" customHeight="1" x14ac:dyDescent="0.3">
      <c r="A24" s="11" t="s">
        <v>180</v>
      </c>
      <c r="B24" s="7" t="s">
        <v>9</v>
      </c>
      <c r="C24" s="7" t="s">
        <v>181</v>
      </c>
      <c r="D24" s="7" t="s">
        <v>538</v>
      </c>
      <c r="E24" s="7" t="s">
        <v>531</v>
      </c>
      <c r="F24" s="31">
        <v>5</v>
      </c>
      <c r="G24" s="31">
        <v>5</v>
      </c>
      <c r="H24" s="31">
        <v>4</v>
      </c>
      <c r="I24" s="31">
        <v>4</v>
      </c>
      <c r="J24" s="30">
        <f t="shared" si="1"/>
        <v>4.4333333333333336</v>
      </c>
      <c r="K24" s="32" t="str">
        <f t="shared" si="0"/>
        <v>Very High</v>
      </c>
      <c r="L24" s="7" t="s">
        <v>539</v>
      </c>
      <c r="M24" s="7" t="s">
        <v>487</v>
      </c>
    </row>
    <row r="25" spans="1:13" ht="57.6" customHeight="1" x14ac:dyDescent="0.3">
      <c r="A25" s="11" t="s">
        <v>185</v>
      </c>
      <c r="B25" s="7" t="s">
        <v>10</v>
      </c>
      <c r="C25" s="7" t="s">
        <v>346</v>
      </c>
      <c r="D25" s="7" t="s">
        <v>540</v>
      </c>
      <c r="E25" s="7" t="s">
        <v>541</v>
      </c>
      <c r="F25" s="31">
        <v>4</v>
      </c>
      <c r="G25" s="31">
        <v>4</v>
      </c>
      <c r="H25" s="31">
        <v>4</v>
      </c>
      <c r="I25" s="31">
        <v>3</v>
      </c>
      <c r="J25" s="30">
        <f t="shared" si="1"/>
        <v>3.4</v>
      </c>
      <c r="K25" s="32" t="str">
        <f t="shared" si="0"/>
        <v>High</v>
      </c>
      <c r="L25" s="7" t="s">
        <v>542</v>
      </c>
      <c r="M25" s="7" t="s">
        <v>543</v>
      </c>
    </row>
    <row r="26" spans="1:13" ht="57.6" customHeight="1" x14ac:dyDescent="0.3">
      <c r="A26" s="11" t="s">
        <v>190</v>
      </c>
      <c r="B26" s="7" t="s">
        <v>10</v>
      </c>
      <c r="C26" s="7" t="s">
        <v>191</v>
      </c>
      <c r="D26" s="7" t="s">
        <v>544</v>
      </c>
      <c r="E26" s="7" t="s">
        <v>545</v>
      </c>
      <c r="F26" s="31">
        <v>4</v>
      </c>
      <c r="G26" s="31">
        <v>5</v>
      </c>
      <c r="H26" s="31">
        <v>4</v>
      </c>
      <c r="I26" s="31">
        <v>4</v>
      </c>
      <c r="J26" s="30">
        <f t="shared" si="1"/>
        <v>4.1166666666666663</v>
      </c>
      <c r="K26" s="32" t="str">
        <f t="shared" si="0"/>
        <v>Very High</v>
      </c>
      <c r="L26" s="7" t="s">
        <v>546</v>
      </c>
      <c r="M26" s="7" t="s">
        <v>547</v>
      </c>
    </row>
    <row r="27" spans="1:13" ht="72" customHeight="1" x14ac:dyDescent="0.3">
      <c r="A27" s="11" t="s">
        <v>194</v>
      </c>
      <c r="B27" s="7" t="s">
        <v>10</v>
      </c>
      <c r="C27" s="7" t="s">
        <v>195</v>
      </c>
      <c r="D27" s="7" t="s">
        <v>548</v>
      </c>
      <c r="E27" s="7" t="s">
        <v>549</v>
      </c>
      <c r="F27" s="31">
        <v>4</v>
      </c>
      <c r="G27" s="31">
        <v>5</v>
      </c>
      <c r="H27" s="31">
        <v>4</v>
      </c>
      <c r="I27" s="31">
        <v>4</v>
      </c>
      <c r="J27" s="30">
        <f t="shared" si="1"/>
        <v>4.1166666666666663</v>
      </c>
      <c r="K27" s="32" t="str">
        <f t="shared" si="0"/>
        <v>Very High</v>
      </c>
      <c r="L27" s="7" t="s">
        <v>550</v>
      </c>
      <c r="M27" s="7" t="s">
        <v>543</v>
      </c>
    </row>
    <row r="28" spans="1:13" ht="86.4" customHeight="1" x14ac:dyDescent="0.3">
      <c r="A28" s="11" t="s">
        <v>199</v>
      </c>
      <c r="B28" s="7" t="s">
        <v>10</v>
      </c>
      <c r="C28" s="7" t="s">
        <v>370</v>
      </c>
      <c r="D28" s="7" t="s">
        <v>551</v>
      </c>
      <c r="E28" s="7" t="s">
        <v>552</v>
      </c>
      <c r="F28" s="31">
        <v>4</v>
      </c>
      <c r="G28" s="31">
        <v>5</v>
      </c>
      <c r="H28" s="31">
        <v>4</v>
      </c>
      <c r="I28" s="31">
        <v>4</v>
      </c>
      <c r="J28" s="30">
        <f t="shared" si="1"/>
        <v>4.1166666666666663</v>
      </c>
      <c r="K28" s="32" t="str">
        <f t="shared" si="0"/>
        <v>Very High</v>
      </c>
      <c r="L28" s="7" t="s">
        <v>553</v>
      </c>
      <c r="M28" s="7" t="s">
        <v>547</v>
      </c>
    </row>
    <row r="29" spans="1:13" ht="72" customHeight="1" x14ac:dyDescent="0.3">
      <c r="A29" s="11" t="s">
        <v>203</v>
      </c>
      <c r="B29" s="7" t="s">
        <v>10</v>
      </c>
      <c r="C29" s="7" t="s">
        <v>375</v>
      </c>
      <c r="D29" s="7" t="s">
        <v>554</v>
      </c>
      <c r="E29" s="7" t="s">
        <v>555</v>
      </c>
      <c r="F29" s="31">
        <v>5</v>
      </c>
      <c r="G29" s="31">
        <v>5</v>
      </c>
      <c r="H29" s="31">
        <v>5</v>
      </c>
      <c r="I29" s="31">
        <v>4</v>
      </c>
      <c r="J29" s="30">
        <f t="shared" si="1"/>
        <v>4.75</v>
      </c>
      <c r="K29" s="32" t="str">
        <f t="shared" si="0"/>
        <v>Very High</v>
      </c>
      <c r="L29" s="7" t="s">
        <v>556</v>
      </c>
      <c r="M29" s="7" t="s">
        <v>543</v>
      </c>
    </row>
    <row r="30" spans="1:13" ht="57.6" customHeight="1" x14ac:dyDescent="0.3">
      <c r="A30" s="11" t="s">
        <v>208</v>
      </c>
      <c r="B30" s="7" t="s">
        <v>10</v>
      </c>
      <c r="C30" s="7" t="s">
        <v>209</v>
      </c>
      <c r="D30" s="7" t="s">
        <v>557</v>
      </c>
      <c r="E30" s="7" t="s">
        <v>558</v>
      </c>
      <c r="F30" s="31">
        <v>4</v>
      </c>
      <c r="G30" s="31">
        <v>5</v>
      </c>
      <c r="H30" s="31">
        <v>4</v>
      </c>
      <c r="I30" s="31">
        <v>3</v>
      </c>
      <c r="J30" s="30">
        <f t="shared" si="1"/>
        <v>3.6833333333333331</v>
      </c>
      <c r="K30" s="32" t="str">
        <f t="shared" si="0"/>
        <v>High</v>
      </c>
      <c r="L30" s="7" t="s">
        <v>559</v>
      </c>
      <c r="M30" s="7" t="s">
        <v>560</v>
      </c>
    </row>
    <row r="31" spans="1:13" ht="57.6" customHeight="1" x14ac:dyDescent="0.3">
      <c r="A31" s="11" t="s">
        <v>212</v>
      </c>
      <c r="B31" s="7" t="s">
        <v>10</v>
      </c>
      <c r="C31" s="7" t="s">
        <v>213</v>
      </c>
      <c r="D31" s="7" t="s">
        <v>561</v>
      </c>
      <c r="E31" s="7" t="s">
        <v>562</v>
      </c>
      <c r="F31" s="31">
        <v>4</v>
      </c>
      <c r="G31" s="31">
        <v>4</v>
      </c>
      <c r="H31" s="31">
        <v>4</v>
      </c>
      <c r="I31" s="31">
        <v>3</v>
      </c>
      <c r="J31" s="30">
        <f t="shared" si="1"/>
        <v>3.4</v>
      </c>
      <c r="K31" s="32" t="str">
        <f t="shared" si="0"/>
        <v>High</v>
      </c>
      <c r="L31" s="7" t="s">
        <v>563</v>
      </c>
      <c r="M31" s="7" t="s">
        <v>564</v>
      </c>
    </row>
    <row r="32" spans="1:13" ht="86.4" customHeight="1" x14ac:dyDescent="0.3">
      <c r="A32" s="11" t="s">
        <v>217</v>
      </c>
      <c r="B32" s="7" t="s">
        <v>10</v>
      </c>
      <c r="C32" s="7" t="s">
        <v>565</v>
      </c>
      <c r="D32" s="7" t="s">
        <v>566</v>
      </c>
      <c r="E32" s="7" t="s">
        <v>567</v>
      </c>
      <c r="F32" s="31">
        <v>3</v>
      </c>
      <c r="G32" s="31">
        <v>5</v>
      </c>
      <c r="H32" s="31">
        <v>3</v>
      </c>
      <c r="I32" s="31">
        <v>3</v>
      </c>
      <c r="J32" s="30">
        <f t="shared" si="1"/>
        <v>3.1166666666666663</v>
      </c>
      <c r="K32" s="32" t="str">
        <f t="shared" si="0"/>
        <v>High</v>
      </c>
      <c r="L32" s="7" t="s">
        <v>568</v>
      </c>
      <c r="M32" s="7" t="s">
        <v>547</v>
      </c>
    </row>
    <row r="33" spans="1:13" ht="72" customHeight="1" x14ac:dyDescent="0.3">
      <c r="A33" s="11" t="s">
        <v>221</v>
      </c>
      <c r="B33" s="7" t="s">
        <v>10</v>
      </c>
      <c r="C33" s="7" t="s">
        <v>397</v>
      </c>
      <c r="D33" s="7" t="s">
        <v>569</v>
      </c>
      <c r="E33" s="7" t="s">
        <v>570</v>
      </c>
      <c r="F33" s="31">
        <v>4</v>
      </c>
      <c r="G33" s="31">
        <v>5</v>
      </c>
      <c r="H33" s="31">
        <v>3</v>
      </c>
      <c r="I33" s="31">
        <v>4</v>
      </c>
      <c r="J33" s="30">
        <f t="shared" si="1"/>
        <v>3.8</v>
      </c>
      <c r="K33" s="32" t="str">
        <f t="shared" si="0"/>
        <v>High</v>
      </c>
      <c r="L33" s="7" t="s">
        <v>571</v>
      </c>
      <c r="M33" s="7" t="s">
        <v>572</v>
      </c>
    </row>
    <row r="34" spans="1:13" ht="72" customHeight="1" x14ac:dyDescent="0.3">
      <c r="A34" s="11" t="s">
        <v>226</v>
      </c>
      <c r="B34" s="7" t="s">
        <v>10</v>
      </c>
      <c r="C34" s="7" t="s">
        <v>227</v>
      </c>
      <c r="D34" s="7" t="s">
        <v>573</v>
      </c>
      <c r="E34" s="7" t="s">
        <v>574</v>
      </c>
      <c r="F34" s="31">
        <v>3</v>
      </c>
      <c r="G34" s="31">
        <v>5</v>
      </c>
      <c r="H34" s="31">
        <v>3</v>
      </c>
      <c r="I34" s="31">
        <v>3</v>
      </c>
      <c r="J34" s="30">
        <f t="shared" si="1"/>
        <v>3.1166666666666663</v>
      </c>
      <c r="K34" s="32" t="str">
        <f t="shared" si="0"/>
        <v>High</v>
      </c>
      <c r="L34" s="7" t="s">
        <v>575</v>
      </c>
      <c r="M34" s="7" t="s">
        <v>547</v>
      </c>
    </row>
  </sheetData>
  <mergeCells count="2">
    <mergeCell ref="A2:M2"/>
    <mergeCell ref="A1:M1"/>
  </mergeCells>
  <conditionalFormatting sqref="K5:K34">
    <cfRule type="cellIs" dxfId="3" priority="1" operator="equal">
      <formula>$K$5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K18"/>
  <sheetViews>
    <sheetView workbookViewId="0">
      <selection activeCell="E10" sqref="E10"/>
    </sheetView>
  </sheetViews>
  <sheetFormatPr defaultRowHeight="14.4" x14ac:dyDescent="0.3"/>
  <cols>
    <col min="1" max="1" width="11.88671875" style="4" bestFit="1" customWidth="1"/>
    <col min="2" max="2" width="17.77734375" style="4" bestFit="1" customWidth="1"/>
    <col min="3" max="3" width="23" style="4" bestFit="1" customWidth="1"/>
    <col min="4" max="5" width="9.109375" style="4" bestFit="1" customWidth="1"/>
    <col min="6" max="6" width="8.88671875" style="4" customWidth="1"/>
    <col min="7" max="7" width="15.88671875" style="4" bestFit="1" customWidth="1"/>
    <col min="8" max="8" width="11.88671875" style="4" bestFit="1" customWidth="1"/>
    <col min="9" max="9" width="74.44140625" style="4" bestFit="1" customWidth="1"/>
    <col min="10" max="10" width="3" style="4" customWidth="1"/>
    <col min="11" max="11" width="1.5546875" style="4" customWidth="1"/>
    <col min="12" max="16384" width="8.88671875" style="4"/>
  </cols>
  <sheetData>
    <row r="1" spans="1:11" ht="21" customHeight="1" x14ac:dyDescent="0.4">
      <c r="A1" s="163" t="s">
        <v>576</v>
      </c>
      <c r="B1" s="130"/>
      <c r="C1" s="130"/>
      <c r="D1" s="130"/>
      <c r="E1" s="130"/>
      <c r="F1" s="130"/>
      <c r="G1" s="130"/>
      <c r="H1" s="130"/>
      <c r="I1" s="131"/>
      <c r="K1" s="91"/>
    </row>
    <row r="2" spans="1:11" x14ac:dyDescent="0.3">
      <c r="K2" s="91"/>
    </row>
    <row r="3" spans="1:11" ht="15.6" customHeight="1" x14ac:dyDescent="0.3">
      <c r="A3" s="171" t="s">
        <v>411</v>
      </c>
      <c r="B3" s="130"/>
      <c r="C3" s="130"/>
      <c r="D3" s="130"/>
      <c r="E3" s="131"/>
      <c r="G3" s="15" t="s">
        <v>577</v>
      </c>
      <c r="H3" s="15" t="s">
        <v>409</v>
      </c>
      <c r="I3" s="15" t="s">
        <v>578</v>
      </c>
      <c r="K3" s="91"/>
    </row>
    <row r="4" spans="1:11" x14ac:dyDescent="0.3">
      <c r="A4" s="38">
        <v>1</v>
      </c>
      <c r="B4" s="38">
        <v>2</v>
      </c>
      <c r="C4" s="38">
        <v>3</v>
      </c>
      <c r="D4" s="38">
        <v>4</v>
      </c>
      <c r="E4" s="38">
        <v>5</v>
      </c>
      <c r="G4" s="13">
        <v>1</v>
      </c>
      <c r="H4" s="14" t="s">
        <v>412</v>
      </c>
      <c r="I4" s="14" t="s">
        <v>579</v>
      </c>
      <c r="K4" s="91"/>
    </row>
    <row r="5" spans="1:11" x14ac:dyDescent="0.3">
      <c r="A5" s="38">
        <v>0.6</v>
      </c>
      <c r="B5" s="38">
        <v>0.75</v>
      </c>
      <c r="C5" s="38">
        <v>0.85</v>
      </c>
      <c r="D5" s="38">
        <v>0.95</v>
      </c>
      <c r="E5" s="38">
        <v>1</v>
      </c>
      <c r="G5" s="13">
        <v>2</v>
      </c>
      <c r="H5" s="14" t="s">
        <v>414</v>
      </c>
      <c r="I5" s="14" t="s">
        <v>580</v>
      </c>
      <c r="K5" s="91"/>
    </row>
    <row r="6" spans="1:11" ht="15" customHeight="1" x14ac:dyDescent="0.3">
      <c r="G6" s="13">
        <v>3</v>
      </c>
      <c r="H6" s="14" t="s">
        <v>416</v>
      </c>
      <c r="I6" s="14" t="s">
        <v>581</v>
      </c>
      <c r="K6" s="91"/>
    </row>
    <row r="7" spans="1:11" ht="28.8" x14ac:dyDescent="0.3">
      <c r="A7" s="15" t="s">
        <v>582</v>
      </c>
      <c r="B7" s="17" t="s">
        <v>424</v>
      </c>
      <c r="C7" s="17" t="s">
        <v>425</v>
      </c>
      <c r="D7" s="17" t="s">
        <v>426</v>
      </c>
      <c r="E7" s="17" t="s">
        <v>427</v>
      </c>
      <c r="G7" s="13">
        <v>4</v>
      </c>
      <c r="H7" s="14" t="s">
        <v>250</v>
      </c>
      <c r="I7" s="14" t="s">
        <v>583</v>
      </c>
      <c r="K7" s="91"/>
    </row>
    <row r="8" spans="1:11" ht="28.8" customHeight="1" x14ac:dyDescent="0.3">
      <c r="A8" s="15" t="s">
        <v>409</v>
      </c>
      <c r="B8" s="17" t="s">
        <v>414</v>
      </c>
      <c r="C8" s="17" t="s">
        <v>416</v>
      </c>
      <c r="D8" s="17" t="s">
        <v>250</v>
      </c>
      <c r="E8" s="17" t="s">
        <v>420</v>
      </c>
      <c r="G8" s="13">
        <v>5</v>
      </c>
      <c r="H8" s="14" t="s">
        <v>420</v>
      </c>
      <c r="I8" s="14" t="s">
        <v>584</v>
      </c>
      <c r="K8" s="91"/>
    </row>
    <row r="9" spans="1:11" x14ac:dyDescent="0.3">
      <c r="K9" s="91"/>
    </row>
    <row r="10" spans="1:11" x14ac:dyDescent="0.3">
      <c r="K10" s="91"/>
    </row>
    <row r="11" spans="1:11" x14ac:dyDescent="0.3">
      <c r="A11" s="15" t="s">
        <v>585</v>
      </c>
      <c r="B11" s="15" t="s">
        <v>586</v>
      </c>
      <c r="C11" s="15" t="s">
        <v>410</v>
      </c>
      <c r="K11" s="91"/>
    </row>
    <row r="12" spans="1:11" x14ac:dyDescent="0.3">
      <c r="A12" s="36">
        <v>1</v>
      </c>
      <c r="B12" s="37" t="s">
        <v>587</v>
      </c>
      <c r="C12" s="37" t="s">
        <v>588</v>
      </c>
      <c r="K12" s="91"/>
    </row>
    <row r="13" spans="1:11" x14ac:dyDescent="0.3">
      <c r="A13" s="36">
        <v>2</v>
      </c>
      <c r="B13" s="37" t="s">
        <v>589</v>
      </c>
      <c r="C13" s="37" t="s">
        <v>590</v>
      </c>
      <c r="K13" s="91"/>
    </row>
    <row r="14" spans="1:11" x14ac:dyDescent="0.3">
      <c r="A14" s="36">
        <v>3</v>
      </c>
      <c r="B14" s="37" t="s">
        <v>591</v>
      </c>
      <c r="C14" s="37" t="s">
        <v>592</v>
      </c>
      <c r="K14" s="91"/>
    </row>
    <row r="15" spans="1:11" x14ac:dyDescent="0.3">
      <c r="A15" s="36">
        <v>4</v>
      </c>
      <c r="B15" s="37" t="s">
        <v>593</v>
      </c>
      <c r="C15" s="37" t="s">
        <v>594</v>
      </c>
      <c r="K15" s="91"/>
    </row>
    <row r="16" spans="1:11" x14ac:dyDescent="0.3">
      <c r="A16" s="36">
        <v>5</v>
      </c>
      <c r="B16" s="37" t="s">
        <v>595</v>
      </c>
      <c r="C16" s="37" t="s">
        <v>596</v>
      </c>
      <c r="K16" s="91"/>
    </row>
    <row r="17" spans="1:11" x14ac:dyDescent="0.3">
      <c r="K17" s="91"/>
    </row>
    <row r="18" spans="1:11" ht="7.2" customHeight="1" x14ac:dyDescent="0.3">
      <c r="A18" s="91"/>
      <c r="B18" s="91"/>
      <c r="C18" s="91"/>
      <c r="D18" s="91"/>
      <c r="E18" s="91"/>
      <c r="F18" s="91"/>
      <c r="G18" s="91"/>
      <c r="H18" s="91"/>
      <c r="I18" s="91"/>
      <c r="J18" s="91"/>
      <c r="K18" s="91"/>
    </row>
  </sheetData>
  <mergeCells count="2">
    <mergeCell ref="A1:I1"/>
    <mergeCell ref="A3:E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H34"/>
  <sheetViews>
    <sheetView topLeftCell="A2" zoomScale="93" workbookViewId="0">
      <selection activeCell="C8" sqref="C8"/>
    </sheetView>
  </sheetViews>
  <sheetFormatPr defaultRowHeight="14.4" x14ac:dyDescent="0.3"/>
  <cols>
    <col min="2" max="2" width="37.77734375" bestFit="1" customWidth="1"/>
    <col min="3" max="3" width="15.44140625" customWidth="1"/>
    <col min="4" max="4" width="10.6640625" bestFit="1" customWidth="1"/>
    <col min="5" max="5" width="13.5546875" bestFit="1" customWidth="1"/>
    <col min="6" max="6" width="14.88671875" bestFit="1" customWidth="1"/>
    <col min="7" max="7" width="13.33203125" bestFit="1" customWidth="1"/>
    <col min="18" max="18" width="18.21875" bestFit="1" customWidth="1"/>
  </cols>
  <sheetData>
    <row r="1" spans="1:8" ht="18" customHeight="1" x14ac:dyDescent="0.35">
      <c r="A1" s="173" t="s">
        <v>597</v>
      </c>
      <c r="B1" s="130"/>
      <c r="C1" s="130"/>
      <c r="D1" s="130"/>
      <c r="E1" s="130"/>
      <c r="F1" s="130"/>
      <c r="G1" s="131"/>
    </row>
    <row r="2" spans="1:8" ht="15.6" customHeight="1" x14ac:dyDescent="0.3">
      <c r="A2" s="172" t="s">
        <v>598</v>
      </c>
      <c r="B2" s="130"/>
      <c r="C2" s="130"/>
      <c r="D2" s="130"/>
      <c r="E2" s="130"/>
      <c r="F2" s="130"/>
      <c r="G2" s="131"/>
    </row>
    <row r="4" spans="1:8" ht="20.399999999999999" customHeight="1" x14ac:dyDescent="0.3">
      <c r="A4" s="35" t="s">
        <v>36</v>
      </c>
      <c r="B4" s="35" t="s">
        <v>85</v>
      </c>
      <c r="C4" s="35" t="s">
        <v>599</v>
      </c>
      <c r="D4" s="35" t="s">
        <v>467</v>
      </c>
      <c r="E4" s="35" t="s">
        <v>586</v>
      </c>
      <c r="F4" s="35" t="s">
        <v>582</v>
      </c>
      <c r="G4" s="35" t="s">
        <v>409</v>
      </c>
      <c r="H4" s="5"/>
    </row>
    <row r="5" spans="1:8" x14ac:dyDescent="0.3">
      <c r="A5" s="7" t="s">
        <v>89</v>
      </c>
      <c r="B5" s="7" t="s">
        <v>90</v>
      </c>
      <c r="C5" s="7">
        <v>5</v>
      </c>
      <c r="D5" s="7">
        <v>5</v>
      </c>
      <c r="E5" s="7" t="s">
        <v>592</v>
      </c>
      <c r="F5" s="30">
        <f>C5*CHOOSE(D5,0.6,0.75,0.85,0.95,1)</f>
        <v>5</v>
      </c>
      <c r="G5" s="11" t="str">
        <f t="shared" ref="G5:G34" si="0">IF(F5&gt;=4,"Very High",IF(F5&gt;=3,"High",IF(F5&gt;=2,"Moderate","Low")))</f>
        <v>Very High</v>
      </c>
      <c r="H5" s="5"/>
    </row>
    <row r="6" spans="1:8" x14ac:dyDescent="0.3">
      <c r="A6" s="7" t="s">
        <v>94</v>
      </c>
      <c r="B6" s="7" t="s">
        <v>95</v>
      </c>
      <c r="C6" s="7">
        <v>5</v>
      </c>
      <c r="D6" s="7">
        <v>5</v>
      </c>
      <c r="E6" s="7" t="s">
        <v>592</v>
      </c>
      <c r="F6" s="30">
        <f t="shared" ref="F6:F34" si="1">C6*CHOOSE(D6,0.6,0.75,0.85,0.95,1)</f>
        <v>5</v>
      </c>
      <c r="G6" s="11" t="str">
        <f t="shared" si="0"/>
        <v>Very High</v>
      </c>
      <c r="H6" s="5"/>
    </row>
    <row r="7" spans="1:8" x14ac:dyDescent="0.3">
      <c r="A7" s="7" t="s">
        <v>99</v>
      </c>
      <c r="B7" s="7" t="s">
        <v>100</v>
      </c>
      <c r="C7" s="7">
        <v>4</v>
      </c>
      <c r="D7" s="7">
        <v>5</v>
      </c>
      <c r="E7" s="7" t="s">
        <v>594</v>
      </c>
      <c r="F7" s="30">
        <f>C7*CHOOSE(D7,0.6,0.75,0.85,0.95,1)</f>
        <v>4</v>
      </c>
      <c r="G7" s="11" t="str">
        <f t="shared" si="0"/>
        <v>Very High</v>
      </c>
      <c r="H7" s="5"/>
    </row>
    <row r="8" spans="1:8" x14ac:dyDescent="0.3">
      <c r="A8" s="7" t="s">
        <v>104</v>
      </c>
      <c r="B8" s="7" t="s">
        <v>105</v>
      </c>
      <c r="C8" s="7">
        <v>4</v>
      </c>
      <c r="D8" s="7">
        <v>4</v>
      </c>
      <c r="E8" s="7" t="s">
        <v>594</v>
      </c>
      <c r="F8" s="30">
        <f t="shared" si="1"/>
        <v>3.8</v>
      </c>
      <c r="G8" s="11" t="str">
        <f t="shared" si="0"/>
        <v>High</v>
      </c>
      <c r="H8" s="5"/>
    </row>
    <row r="9" spans="1:8" x14ac:dyDescent="0.3">
      <c r="A9" s="7" t="s">
        <v>109</v>
      </c>
      <c r="B9" s="7" t="s">
        <v>263</v>
      </c>
      <c r="C9" s="7">
        <v>4</v>
      </c>
      <c r="D9" s="7">
        <v>4</v>
      </c>
      <c r="E9" s="7" t="s">
        <v>594</v>
      </c>
      <c r="F9" s="30">
        <f t="shared" si="1"/>
        <v>3.8</v>
      </c>
      <c r="G9" s="11" t="str">
        <f t="shared" si="0"/>
        <v>High</v>
      </c>
      <c r="H9" s="5"/>
    </row>
    <row r="10" spans="1:8" x14ac:dyDescent="0.3">
      <c r="A10" s="7" t="s">
        <v>114</v>
      </c>
      <c r="B10" s="7" t="s">
        <v>115</v>
      </c>
      <c r="C10" s="7">
        <v>3</v>
      </c>
      <c r="D10" s="7">
        <v>3</v>
      </c>
      <c r="E10" s="7" t="s">
        <v>590</v>
      </c>
      <c r="F10" s="30">
        <f t="shared" si="1"/>
        <v>2.5499999999999998</v>
      </c>
      <c r="G10" s="11" t="str">
        <f t="shared" si="0"/>
        <v>Moderate</v>
      </c>
    </row>
    <row r="11" spans="1:8" x14ac:dyDescent="0.3">
      <c r="A11" s="7" t="s">
        <v>119</v>
      </c>
      <c r="B11" s="7" t="s">
        <v>120</v>
      </c>
      <c r="C11" s="7">
        <v>3</v>
      </c>
      <c r="D11" s="7">
        <v>4</v>
      </c>
      <c r="E11" s="7" t="s">
        <v>594</v>
      </c>
      <c r="F11" s="30">
        <f t="shared" si="1"/>
        <v>2.8499999999999996</v>
      </c>
      <c r="G11" s="11" t="str">
        <f t="shared" si="0"/>
        <v>Moderate</v>
      </c>
    </row>
    <row r="12" spans="1:8" x14ac:dyDescent="0.3">
      <c r="A12" s="7" t="s">
        <v>124</v>
      </c>
      <c r="B12" s="7" t="s">
        <v>125</v>
      </c>
      <c r="C12" s="7">
        <v>4</v>
      </c>
      <c r="D12" s="7">
        <v>4</v>
      </c>
      <c r="E12" s="7" t="s">
        <v>594</v>
      </c>
      <c r="F12" s="30">
        <f t="shared" si="1"/>
        <v>3.8</v>
      </c>
      <c r="G12" s="11" t="str">
        <f t="shared" si="0"/>
        <v>High</v>
      </c>
    </row>
    <row r="13" spans="1:8" x14ac:dyDescent="0.3">
      <c r="A13" s="7" t="s">
        <v>128</v>
      </c>
      <c r="B13" s="7" t="s">
        <v>129</v>
      </c>
      <c r="C13" s="7">
        <v>3</v>
      </c>
      <c r="D13" s="7">
        <v>3</v>
      </c>
      <c r="E13" s="7" t="s">
        <v>592</v>
      </c>
      <c r="F13" s="30">
        <f t="shared" si="1"/>
        <v>2.5499999999999998</v>
      </c>
      <c r="G13" s="11" t="str">
        <f t="shared" si="0"/>
        <v>Moderate</v>
      </c>
    </row>
    <row r="14" spans="1:8" x14ac:dyDescent="0.3">
      <c r="A14" s="7" t="s">
        <v>132</v>
      </c>
      <c r="B14" s="7" t="s">
        <v>133</v>
      </c>
      <c r="C14" s="7">
        <v>3</v>
      </c>
      <c r="D14" s="7">
        <v>4</v>
      </c>
      <c r="E14" s="7" t="s">
        <v>592</v>
      </c>
      <c r="F14" s="30">
        <f t="shared" si="1"/>
        <v>2.8499999999999996</v>
      </c>
      <c r="G14" s="11" t="str">
        <f t="shared" si="0"/>
        <v>Moderate</v>
      </c>
    </row>
    <row r="15" spans="1:8" x14ac:dyDescent="0.3">
      <c r="A15" s="7" t="s">
        <v>137</v>
      </c>
      <c r="B15" s="7" t="s">
        <v>138</v>
      </c>
      <c r="C15" s="7">
        <v>5</v>
      </c>
      <c r="D15" s="7">
        <v>4</v>
      </c>
      <c r="E15" s="7" t="s">
        <v>594</v>
      </c>
      <c r="F15" s="30">
        <f t="shared" si="1"/>
        <v>4.75</v>
      </c>
      <c r="G15" s="11" t="str">
        <f t="shared" si="0"/>
        <v>Very High</v>
      </c>
    </row>
    <row r="16" spans="1:8" x14ac:dyDescent="0.3">
      <c r="A16" s="7" t="s">
        <v>142</v>
      </c>
      <c r="B16" s="7" t="s">
        <v>508</v>
      </c>
      <c r="C16" s="7">
        <v>3</v>
      </c>
      <c r="D16" s="7">
        <v>4</v>
      </c>
      <c r="E16" s="7" t="s">
        <v>594</v>
      </c>
      <c r="F16" s="30">
        <f t="shared" si="1"/>
        <v>2.8499999999999996</v>
      </c>
      <c r="G16" s="11" t="str">
        <f t="shared" si="0"/>
        <v>Moderate</v>
      </c>
    </row>
    <row r="17" spans="1:7" x14ac:dyDescent="0.3">
      <c r="A17" s="7" t="s">
        <v>147</v>
      </c>
      <c r="B17" s="7" t="s">
        <v>148</v>
      </c>
      <c r="C17" s="7">
        <v>3</v>
      </c>
      <c r="D17" s="7">
        <v>4</v>
      </c>
      <c r="E17" s="7" t="s">
        <v>592</v>
      </c>
      <c r="F17" s="30">
        <f t="shared" si="1"/>
        <v>2.8499999999999996</v>
      </c>
      <c r="G17" s="11" t="str">
        <f t="shared" si="0"/>
        <v>Moderate</v>
      </c>
    </row>
    <row r="18" spans="1:7" x14ac:dyDescent="0.3">
      <c r="A18" s="7" t="s">
        <v>151</v>
      </c>
      <c r="B18" s="7" t="s">
        <v>152</v>
      </c>
      <c r="C18" s="7">
        <v>4</v>
      </c>
      <c r="D18" s="7">
        <v>4</v>
      </c>
      <c r="E18" s="7" t="s">
        <v>594</v>
      </c>
      <c r="F18" s="30">
        <f t="shared" si="1"/>
        <v>3.8</v>
      </c>
      <c r="G18" s="11" t="str">
        <f t="shared" si="0"/>
        <v>High</v>
      </c>
    </row>
    <row r="19" spans="1:7" x14ac:dyDescent="0.3">
      <c r="A19" s="7" t="s">
        <v>156</v>
      </c>
      <c r="B19" s="7" t="s">
        <v>519</v>
      </c>
      <c r="C19" s="7">
        <v>4</v>
      </c>
      <c r="D19" s="7">
        <v>3</v>
      </c>
      <c r="E19" s="7" t="s">
        <v>594</v>
      </c>
      <c r="F19" s="30">
        <f t="shared" si="1"/>
        <v>3.4</v>
      </c>
      <c r="G19" s="11" t="str">
        <f t="shared" si="0"/>
        <v>High</v>
      </c>
    </row>
    <row r="20" spans="1:7" x14ac:dyDescent="0.3">
      <c r="A20" s="7" t="s">
        <v>160</v>
      </c>
      <c r="B20" s="7" t="s">
        <v>161</v>
      </c>
      <c r="C20" s="7">
        <v>4</v>
      </c>
      <c r="D20" s="7">
        <v>3</v>
      </c>
      <c r="E20" s="7" t="s">
        <v>594</v>
      </c>
      <c r="F20" s="30">
        <f t="shared" si="1"/>
        <v>3.4</v>
      </c>
      <c r="G20" s="11" t="str">
        <f t="shared" si="0"/>
        <v>High</v>
      </c>
    </row>
    <row r="21" spans="1:7" x14ac:dyDescent="0.3">
      <c r="A21" s="7" t="s">
        <v>165</v>
      </c>
      <c r="B21" s="7" t="s">
        <v>166</v>
      </c>
      <c r="C21" s="7">
        <v>4</v>
      </c>
      <c r="D21" s="7">
        <v>3</v>
      </c>
      <c r="E21" s="7" t="s">
        <v>594</v>
      </c>
      <c r="F21" s="30">
        <f t="shared" si="1"/>
        <v>3.4</v>
      </c>
      <c r="G21" s="11" t="str">
        <f t="shared" si="0"/>
        <v>High</v>
      </c>
    </row>
    <row r="22" spans="1:7" x14ac:dyDescent="0.3">
      <c r="A22" s="7" t="s">
        <v>170</v>
      </c>
      <c r="B22" s="7" t="s">
        <v>171</v>
      </c>
      <c r="C22" s="7">
        <v>5</v>
      </c>
      <c r="D22" s="7">
        <v>4</v>
      </c>
      <c r="E22" s="7" t="s">
        <v>594</v>
      </c>
      <c r="F22" s="30">
        <f t="shared" si="1"/>
        <v>4.75</v>
      </c>
      <c r="G22" s="11" t="str">
        <f t="shared" si="0"/>
        <v>Very High</v>
      </c>
    </row>
    <row r="23" spans="1:7" x14ac:dyDescent="0.3">
      <c r="A23" s="7" t="s">
        <v>175</v>
      </c>
      <c r="B23" s="7" t="s">
        <v>533</v>
      </c>
      <c r="C23" s="7">
        <v>4</v>
      </c>
      <c r="D23" s="7">
        <v>4</v>
      </c>
      <c r="E23" s="7" t="s">
        <v>600</v>
      </c>
      <c r="F23" s="30">
        <f t="shared" si="1"/>
        <v>3.8</v>
      </c>
      <c r="G23" s="11" t="str">
        <f t="shared" si="0"/>
        <v>High</v>
      </c>
    </row>
    <row r="24" spans="1:7" x14ac:dyDescent="0.3">
      <c r="A24" s="7" t="s">
        <v>180</v>
      </c>
      <c r="B24" s="7" t="s">
        <v>181</v>
      </c>
      <c r="C24" s="7">
        <v>5</v>
      </c>
      <c r="D24" s="7">
        <v>5</v>
      </c>
      <c r="E24" s="7" t="s">
        <v>600</v>
      </c>
      <c r="F24" s="30">
        <f t="shared" si="1"/>
        <v>5</v>
      </c>
      <c r="G24" s="11" t="str">
        <f t="shared" si="0"/>
        <v>Very High</v>
      </c>
    </row>
    <row r="25" spans="1:7" x14ac:dyDescent="0.3">
      <c r="A25" s="7" t="s">
        <v>185</v>
      </c>
      <c r="B25" s="7" t="s">
        <v>346</v>
      </c>
      <c r="C25" s="7">
        <v>5</v>
      </c>
      <c r="D25" s="7">
        <v>3</v>
      </c>
      <c r="E25" s="7" t="s">
        <v>600</v>
      </c>
      <c r="F25" s="30">
        <f t="shared" si="1"/>
        <v>4.25</v>
      </c>
      <c r="G25" s="11" t="str">
        <f t="shared" si="0"/>
        <v>Very High</v>
      </c>
    </row>
    <row r="26" spans="1:7" x14ac:dyDescent="0.3">
      <c r="A26" s="7" t="s">
        <v>190</v>
      </c>
      <c r="B26" s="7" t="s">
        <v>191</v>
      </c>
      <c r="C26" s="7">
        <v>5</v>
      </c>
      <c r="D26" s="7">
        <v>4</v>
      </c>
      <c r="E26" s="7" t="s">
        <v>600</v>
      </c>
      <c r="F26" s="30">
        <f t="shared" si="1"/>
        <v>4.75</v>
      </c>
      <c r="G26" s="11" t="str">
        <f t="shared" si="0"/>
        <v>Very High</v>
      </c>
    </row>
    <row r="27" spans="1:7" x14ac:dyDescent="0.3">
      <c r="A27" s="7" t="s">
        <v>194</v>
      </c>
      <c r="B27" s="7" t="s">
        <v>195</v>
      </c>
      <c r="C27" s="7">
        <v>4</v>
      </c>
      <c r="D27" s="7">
        <v>4</v>
      </c>
      <c r="E27" s="7" t="s">
        <v>594</v>
      </c>
      <c r="F27" s="30">
        <f t="shared" si="1"/>
        <v>3.8</v>
      </c>
      <c r="G27" s="11" t="str">
        <f t="shared" si="0"/>
        <v>High</v>
      </c>
    </row>
    <row r="28" spans="1:7" x14ac:dyDescent="0.3">
      <c r="A28" s="7" t="s">
        <v>199</v>
      </c>
      <c r="B28" s="7" t="s">
        <v>370</v>
      </c>
      <c r="C28" s="7">
        <v>5</v>
      </c>
      <c r="D28" s="7">
        <v>4</v>
      </c>
      <c r="E28" s="7" t="s">
        <v>600</v>
      </c>
      <c r="F28" s="30">
        <f t="shared" si="1"/>
        <v>4.75</v>
      </c>
      <c r="G28" s="11" t="str">
        <f t="shared" si="0"/>
        <v>Very High</v>
      </c>
    </row>
    <row r="29" spans="1:7" x14ac:dyDescent="0.3">
      <c r="A29" s="7" t="s">
        <v>203</v>
      </c>
      <c r="B29" s="7" t="s">
        <v>375</v>
      </c>
      <c r="C29" s="7">
        <v>5</v>
      </c>
      <c r="D29" s="7">
        <v>4</v>
      </c>
      <c r="E29" s="7" t="s">
        <v>600</v>
      </c>
      <c r="F29" s="30">
        <f t="shared" si="1"/>
        <v>4.75</v>
      </c>
      <c r="G29" s="11" t="str">
        <f t="shared" si="0"/>
        <v>Very High</v>
      </c>
    </row>
    <row r="30" spans="1:7" x14ac:dyDescent="0.3">
      <c r="A30" s="7" t="s">
        <v>208</v>
      </c>
      <c r="B30" s="7" t="s">
        <v>209</v>
      </c>
      <c r="C30" s="7">
        <v>4</v>
      </c>
      <c r="D30" s="7">
        <v>3</v>
      </c>
      <c r="E30" s="7" t="s">
        <v>600</v>
      </c>
      <c r="F30" s="30">
        <f t="shared" si="1"/>
        <v>3.4</v>
      </c>
      <c r="G30" s="11" t="str">
        <f t="shared" si="0"/>
        <v>High</v>
      </c>
    </row>
    <row r="31" spans="1:7" x14ac:dyDescent="0.3">
      <c r="A31" s="7" t="s">
        <v>212</v>
      </c>
      <c r="B31" s="7" t="s">
        <v>213</v>
      </c>
      <c r="C31" s="7">
        <v>4</v>
      </c>
      <c r="D31" s="7">
        <v>3</v>
      </c>
      <c r="E31" s="7" t="s">
        <v>594</v>
      </c>
      <c r="F31" s="30">
        <f t="shared" si="1"/>
        <v>3.4</v>
      </c>
      <c r="G31" s="11" t="str">
        <f t="shared" si="0"/>
        <v>High</v>
      </c>
    </row>
    <row r="32" spans="1:7" x14ac:dyDescent="0.3">
      <c r="A32" s="7" t="s">
        <v>217</v>
      </c>
      <c r="B32" s="7" t="s">
        <v>565</v>
      </c>
      <c r="C32" s="7">
        <v>3</v>
      </c>
      <c r="D32" s="7">
        <v>3</v>
      </c>
      <c r="E32" s="7" t="s">
        <v>594</v>
      </c>
      <c r="F32" s="30">
        <f t="shared" si="1"/>
        <v>2.5499999999999998</v>
      </c>
      <c r="G32" s="11" t="str">
        <f t="shared" si="0"/>
        <v>Moderate</v>
      </c>
    </row>
    <row r="33" spans="1:7" x14ac:dyDescent="0.3">
      <c r="A33" s="7" t="s">
        <v>221</v>
      </c>
      <c r="B33" s="7" t="s">
        <v>397</v>
      </c>
      <c r="C33" s="7">
        <v>5</v>
      </c>
      <c r="D33" s="7">
        <v>4</v>
      </c>
      <c r="E33" s="7" t="s">
        <v>592</v>
      </c>
      <c r="F33" s="30">
        <f t="shared" si="1"/>
        <v>4.75</v>
      </c>
      <c r="G33" s="11" t="str">
        <f t="shared" si="0"/>
        <v>Very High</v>
      </c>
    </row>
    <row r="34" spans="1:7" x14ac:dyDescent="0.3">
      <c r="A34" s="7" t="s">
        <v>226</v>
      </c>
      <c r="B34" s="7" t="s">
        <v>227</v>
      </c>
      <c r="C34" s="7">
        <v>4</v>
      </c>
      <c r="D34" s="7">
        <v>3</v>
      </c>
      <c r="E34" s="7" t="s">
        <v>594</v>
      </c>
      <c r="F34" s="30">
        <f t="shared" si="1"/>
        <v>3.4</v>
      </c>
      <c r="G34" s="11" t="str">
        <f t="shared" si="0"/>
        <v>High</v>
      </c>
    </row>
  </sheetData>
  <mergeCells count="2">
    <mergeCell ref="A2:G2"/>
    <mergeCell ref="A1:G1"/>
  </mergeCells>
  <conditionalFormatting sqref="G5:G34">
    <cfRule type="cellIs" dxfId="2" priority="1" operator="equal">
      <formula>$G$5</formula>
    </cfRule>
    <cfRule type="cellIs" dxfId="1" priority="2" operator="equal">
      <formula>$K$6</formula>
    </cfRule>
  </conditionalFormatting>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O34"/>
  <sheetViews>
    <sheetView topLeftCell="F5" zoomScale="89" workbookViewId="0">
      <selection activeCell="G19" sqref="G19"/>
    </sheetView>
  </sheetViews>
  <sheetFormatPr defaultRowHeight="14.4" x14ac:dyDescent="0.3"/>
  <cols>
    <col min="1" max="1" width="19" customWidth="1"/>
    <col min="2" max="2" width="17.21875" customWidth="1"/>
    <col min="3" max="3" width="36.77734375" bestFit="1" customWidth="1"/>
    <col min="4" max="4" width="15.5546875" customWidth="1"/>
    <col min="5" max="5" width="22.44140625" customWidth="1"/>
    <col min="6" max="6" width="13.88671875" customWidth="1"/>
    <col min="7" max="7" width="25.88671875" customWidth="1"/>
    <col min="8" max="8" width="22.77734375" customWidth="1"/>
    <col min="10" max="10" width="22" customWidth="1"/>
    <col min="11" max="11" width="19.77734375" customWidth="1"/>
    <col min="12" max="12" width="5.33203125" customWidth="1"/>
    <col min="13" max="13" width="15.44140625" bestFit="1" customWidth="1"/>
    <col min="14" max="14" width="17.5546875" customWidth="1"/>
    <col min="15" max="15" width="21.77734375" customWidth="1"/>
    <col min="18" max="18" width="24.77734375" customWidth="1"/>
    <col min="20" max="20" width="18" bestFit="1" customWidth="1"/>
    <col min="21" max="21" width="20" customWidth="1"/>
  </cols>
  <sheetData>
    <row r="1" spans="1:15" ht="18" customHeight="1" x14ac:dyDescent="0.3">
      <c r="A1" s="177" t="s">
        <v>0</v>
      </c>
      <c r="B1" s="130"/>
      <c r="C1" s="130"/>
      <c r="D1" s="130"/>
      <c r="E1" s="130"/>
      <c r="F1" s="130"/>
      <c r="G1" s="130"/>
      <c r="H1" s="131"/>
    </row>
    <row r="2" spans="1:15" ht="15.6" customHeight="1" x14ac:dyDescent="0.3">
      <c r="A2" s="175" t="s">
        <v>601</v>
      </c>
      <c r="B2" s="130"/>
      <c r="C2" s="130"/>
      <c r="D2" s="130"/>
      <c r="E2" s="130"/>
      <c r="F2" s="130"/>
      <c r="G2" s="130"/>
      <c r="H2" s="131"/>
      <c r="J2" s="174" t="s">
        <v>602</v>
      </c>
      <c r="K2" s="131"/>
      <c r="L2" s="4"/>
      <c r="M2" s="174" t="s">
        <v>603</v>
      </c>
      <c r="N2" s="131"/>
    </row>
    <row r="3" spans="1:15" x14ac:dyDescent="0.3">
      <c r="J3" s="40" t="s">
        <v>604</v>
      </c>
      <c r="K3" s="40" t="s">
        <v>605</v>
      </c>
      <c r="L3" s="4"/>
      <c r="M3" s="40" t="s">
        <v>604</v>
      </c>
      <c r="N3" s="40" t="s">
        <v>605</v>
      </c>
      <c r="O3" s="5"/>
    </row>
    <row r="4" spans="1:15" x14ac:dyDescent="0.3">
      <c r="A4" s="12" t="s">
        <v>36</v>
      </c>
      <c r="B4" s="12" t="s">
        <v>37</v>
      </c>
      <c r="C4" s="12" t="s">
        <v>85</v>
      </c>
      <c r="D4" s="12" t="s">
        <v>423</v>
      </c>
      <c r="E4" s="12" t="s">
        <v>606</v>
      </c>
      <c r="F4" s="12" t="s">
        <v>582</v>
      </c>
      <c r="G4" s="12" t="s">
        <v>607</v>
      </c>
      <c r="H4" s="12" t="s">
        <v>608</v>
      </c>
      <c r="J4" s="9">
        <v>3</v>
      </c>
      <c r="K4" s="9">
        <v>1</v>
      </c>
      <c r="L4" s="4"/>
      <c r="M4" s="9">
        <v>1</v>
      </c>
      <c r="N4" s="9">
        <v>3</v>
      </c>
      <c r="O4" s="5"/>
    </row>
    <row r="5" spans="1:15" x14ac:dyDescent="0.3">
      <c r="A5" s="7" t="s">
        <v>89</v>
      </c>
      <c r="B5" s="107" t="str">
        <f>INDEX('Impact Scoring'!$B:$B,MATCH($A5,'Impact Scoring'!$A:$A,0))</f>
        <v>Environmental</v>
      </c>
      <c r="C5" s="108" t="str">
        <f>INDEX('Impact Scoring'!$C:$C,MATCH($A5,'Impact Scoring'!$A:$A,0))</f>
        <v>Climate Change</v>
      </c>
      <c r="D5" s="31">
        <f>INDEX('Impact Scoring'!$J:$J,MATCH($A5,'Impact Scoring'!$A:$A,0))</f>
        <v>5</v>
      </c>
      <c r="E5" s="107" t="str">
        <f>INDEX('Impact Scoring'!$K:$K,MATCH($A5,'Impact Scoring'!$A:$A,0))</f>
        <v>Very High</v>
      </c>
      <c r="F5" s="109">
        <f>INDEX('Financial Scoring'!$F:$F,MATCH($A5,'Financial Scoring'!$A:$A,0))</f>
        <v>5</v>
      </c>
      <c r="G5" s="108" t="str">
        <f>INDEX('Financial Scoring'!$G:$G,MATCH($A5,'Financial Scoring'!$A:$A,0))</f>
        <v>Very High</v>
      </c>
      <c r="H5" s="11" t="str">
        <f t="shared" ref="H5:H34" si="0">IF(AND(D5&gt;=3,F5&gt;=3),"Double Material",
IF(D5&gt;=3,"Impact Material",
IF(F5&gt;=3,"Financially Material","Below Threshold")))</f>
        <v>Double Material</v>
      </c>
      <c r="J5" s="9">
        <v>3</v>
      </c>
      <c r="K5" s="9">
        <v>5</v>
      </c>
      <c r="L5" s="4"/>
      <c r="M5" s="9">
        <v>5</v>
      </c>
      <c r="N5" s="9">
        <v>3</v>
      </c>
      <c r="O5" s="39"/>
    </row>
    <row r="6" spans="1:15" x14ac:dyDescent="0.3">
      <c r="A6" s="7" t="s">
        <v>94</v>
      </c>
      <c r="B6" s="107" t="str">
        <f>INDEX('Impact Scoring'!$B:$B,MATCH($A6,'Impact Scoring'!$A:$A,0))</f>
        <v>Environmental</v>
      </c>
      <c r="C6" s="108" t="str">
        <f>INDEX('Impact Scoring'!$C:$C,MATCH($A6,'Impact Scoring'!$A:$A,0))</f>
        <v>GHG Emissions</v>
      </c>
      <c r="D6" s="31">
        <f>INDEX('Impact Scoring'!$J:$J,MATCH($A6,'Impact Scoring'!$A:$A,0))</f>
        <v>5</v>
      </c>
      <c r="E6" s="107" t="str">
        <f>INDEX('Impact Scoring'!$K:$K,MATCH($A6,'Impact Scoring'!$A:$A,0))</f>
        <v>Very High</v>
      </c>
      <c r="F6" s="109">
        <f>INDEX('Financial Scoring'!$F:$F,MATCH($A6,'Financial Scoring'!$A:$A,0))</f>
        <v>5</v>
      </c>
      <c r="G6" s="108" t="str">
        <f>INDEX('Financial Scoring'!$G:$G,MATCH($A6,'Financial Scoring'!$A:$A,0))</f>
        <v>Very High</v>
      </c>
      <c r="H6" s="11" t="str">
        <f t="shared" si="0"/>
        <v>Double Material</v>
      </c>
      <c r="N6" s="39"/>
      <c r="O6" s="39"/>
    </row>
    <row r="7" spans="1:15" x14ac:dyDescent="0.3">
      <c r="A7" s="7" t="s">
        <v>99</v>
      </c>
      <c r="B7" s="107" t="str">
        <f>INDEX('Impact Scoring'!$B:$B,MATCH($A7,'Impact Scoring'!$A:$A,0))</f>
        <v>Environmental</v>
      </c>
      <c r="C7" s="108" t="str">
        <f>INDEX('Impact Scoring'!$C:$C,MATCH($A7,'Impact Scoring'!$A:$A,0))</f>
        <v>Energy Management</v>
      </c>
      <c r="D7" s="31">
        <f>INDEX('Impact Scoring'!$J:$J,MATCH($A7,'Impact Scoring'!$A:$A,0))</f>
        <v>3.3333333333333335</v>
      </c>
      <c r="E7" s="107" t="str">
        <f>INDEX('Impact Scoring'!$K:$K,MATCH($A7,'Impact Scoring'!$A:$A,0))</f>
        <v>High</v>
      </c>
      <c r="F7" s="109">
        <f>INDEX('Financial Scoring'!$F:$F,MATCH($A7,'Financial Scoring'!$A:$A,0))</f>
        <v>4</v>
      </c>
      <c r="G7" s="108" t="str">
        <f>INDEX('Financial Scoring'!$G:$G,MATCH($A7,'Financial Scoring'!$A:$A,0))</f>
        <v>Very High</v>
      </c>
      <c r="H7" s="11" t="str">
        <f t="shared" si="0"/>
        <v>Double Material</v>
      </c>
      <c r="J7" s="41" t="s">
        <v>409</v>
      </c>
      <c r="K7" s="42" t="s">
        <v>609</v>
      </c>
      <c r="M7" s="176" t="s">
        <v>608</v>
      </c>
      <c r="N7" s="127"/>
      <c r="O7" s="127"/>
    </row>
    <row r="8" spans="1:15" x14ac:dyDescent="0.3">
      <c r="A8" s="7" t="s">
        <v>104</v>
      </c>
      <c r="B8" s="107" t="str">
        <f>INDEX('Impact Scoring'!$B:$B,MATCH($A8,'Impact Scoring'!$A:$A,0))</f>
        <v>Environmental</v>
      </c>
      <c r="C8" s="108" t="str">
        <f>INDEX('Impact Scoring'!$C:$C,MATCH($A8,'Impact Scoring'!$A:$A,0))</f>
        <v>Air Pollution</v>
      </c>
      <c r="D8" s="31">
        <f>INDEX('Impact Scoring'!$J:$J,MATCH($A8,'Impact Scoring'!$A:$A,0))</f>
        <v>4.1166666666666663</v>
      </c>
      <c r="E8" s="107" t="str">
        <f>INDEX('Impact Scoring'!$K:$K,MATCH($A8,'Impact Scoring'!$A:$A,0))</f>
        <v>Very High</v>
      </c>
      <c r="F8" s="109">
        <f>INDEX('Financial Scoring'!$F:$F,MATCH($A8,'Financial Scoring'!$A:$A,0))</f>
        <v>3.8</v>
      </c>
      <c r="G8" s="108" t="str">
        <f>INDEX('Financial Scoring'!$G:$G,MATCH($A8,'Financial Scoring'!$A:$A,0))</f>
        <v>High</v>
      </c>
      <c r="H8" s="11" t="str">
        <f t="shared" si="0"/>
        <v>Double Material</v>
      </c>
      <c r="J8" s="6" t="s">
        <v>610</v>
      </c>
      <c r="K8" s="43">
        <f>COUNTIF(H5:H34,"Double Material")</f>
        <v>22</v>
      </c>
      <c r="M8" s="28" t="s">
        <v>38</v>
      </c>
      <c r="N8" s="28" t="s">
        <v>39</v>
      </c>
      <c r="O8" s="28" t="s">
        <v>409</v>
      </c>
    </row>
    <row r="9" spans="1:15" x14ac:dyDescent="0.3">
      <c r="A9" s="7" t="s">
        <v>109</v>
      </c>
      <c r="B9" s="107" t="str">
        <f>INDEX('Impact Scoring'!$B:$B,MATCH($A9,'Impact Scoring'!$A:$A,0))</f>
        <v>Environmental</v>
      </c>
      <c r="C9" s="108" t="str">
        <f>INDEX('Impact Scoring'!$C:$C,MATCH($A9,'Impact Scoring'!$A:$A,0))</f>
        <v>Water &amp; Effluent</v>
      </c>
      <c r="D9" s="31">
        <f>INDEX('Impact Scoring'!$J:$J,MATCH($A9,'Impact Scoring'!$A:$A,0))</f>
        <v>3.8</v>
      </c>
      <c r="E9" s="107" t="str">
        <f>INDEX('Impact Scoring'!$K:$K,MATCH($A9,'Impact Scoring'!$A:$A,0))</f>
        <v>High</v>
      </c>
      <c r="F9" s="109">
        <f>INDEX('Financial Scoring'!$F:$F,MATCH($A9,'Financial Scoring'!$A:$A,0))</f>
        <v>3.8</v>
      </c>
      <c r="G9" s="108" t="str">
        <f>INDEX('Financial Scoring'!$G:$G,MATCH($A9,'Financial Scoring'!$A:$A,0))</f>
        <v>High</v>
      </c>
      <c r="H9" s="11" t="str">
        <f t="shared" si="0"/>
        <v>Double Material</v>
      </c>
      <c r="J9" s="6" t="s">
        <v>611</v>
      </c>
      <c r="K9" s="43">
        <f>COUNTIF(H5:H34,"Impact Material")</f>
        <v>7</v>
      </c>
      <c r="M9" s="8" t="s">
        <v>612</v>
      </c>
      <c r="N9" s="8" t="s">
        <v>612</v>
      </c>
      <c r="O9" s="21" t="s">
        <v>610</v>
      </c>
    </row>
    <row r="10" spans="1:15" x14ac:dyDescent="0.3">
      <c r="A10" s="7" t="s">
        <v>114</v>
      </c>
      <c r="B10" s="107" t="str">
        <f>INDEX('Impact Scoring'!$B:$B,MATCH($A10,'Impact Scoring'!$A:$A,0))</f>
        <v>Environmental</v>
      </c>
      <c r="C10" s="108" t="str">
        <f>INDEX('Impact Scoring'!$C:$C,MATCH($A10,'Impact Scoring'!$A:$A,0))</f>
        <v>Biodiversity</v>
      </c>
      <c r="D10" s="31">
        <f>INDEX('Impact Scoring'!$J:$J,MATCH($A10,'Impact Scoring'!$A:$A,0))</f>
        <v>3.6833333333333331</v>
      </c>
      <c r="E10" s="107" t="str">
        <f>INDEX('Impact Scoring'!$K:$K,MATCH($A10,'Impact Scoring'!$A:$A,0))</f>
        <v>High</v>
      </c>
      <c r="F10" s="109">
        <f>INDEX('Financial Scoring'!$F:$F,MATCH($A10,'Financial Scoring'!$A:$A,0))</f>
        <v>2.5499999999999998</v>
      </c>
      <c r="G10" s="108" t="str">
        <f>INDEX('Financial Scoring'!$G:$G,MATCH($A10,'Financial Scoring'!$A:$A,0))</f>
        <v>Moderate</v>
      </c>
      <c r="H10" s="11" t="str">
        <f t="shared" si="0"/>
        <v>Impact Material</v>
      </c>
      <c r="J10" s="6" t="s">
        <v>613</v>
      </c>
      <c r="K10" s="43">
        <f>COUNTIF(H5:H34,"Financially Material")</f>
        <v>1</v>
      </c>
      <c r="M10" s="8" t="s">
        <v>612</v>
      </c>
      <c r="N10" s="8" t="s">
        <v>614</v>
      </c>
      <c r="O10" s="21" t="s">
        <v>611</v>
      </c>
    </row>
    <row r="11" spans="1:15" x14ac:dyDescent="0.3">
      <c r="A11" s="7" t="s">
        <v>119</v>
      </c>
      <c r="B11" s="107" t="str">
        <f>INDEX('Impact Scoring'!$B:$B,MATCH($A11,'Impact Scoring'!$A:$A,0))</f>
        <v>Environmental</v>
      </c>
      <c r="C11" s="108" t="str">
        <f>INDEX('Impact Scoring'!$C:$C,MATCH($A11,'Impact Scoring'!$A:$A,0))</f>
        <v>Waste Management</v>
      </c>
      <c r="D11" s="31">
        <f>INDEX('Impact Scoring'!$J:$J,MATCH($A11,'Impact Scoring'!$A:$A,0))</f>
        <v>3.1666666666666665</v>
      </c>
      <c r="E11" s="107" t="str">
        <f>INDEX('Impact Scoring'!$K:$K,MATCH($A11,'Impact Scoring'!$A:$A,0))</f>
        <v>High</v>
      </c>
      <c r="F11" s="109">
        <f>INDEX('Financial Scoring'!$F:$F,MATCH($A11,'Financial Scoring'!$A:$A,0))</f>
        <v>2.8499999999999996</v>
      </c>
      <c r="G11" s="108" t="str">
        <f>INDEX('Financial Scoring'!$G:$G,MATCH($A11,'Financial Scoring'!$A:$A,0))</f>
        <v>Moderate</v>
      </c>
      <c r="H11" s="11" t="str">
        <f t="shared" si="0"/>
        <v>Impact Material</v>
      </c>
      <c r="J11" s="6" t="s">
        <v>615</v>
      </c>
      <c r="K11" s="43">
        <f>COUNTIF(H5:H34,"Below Threshold")</f>
        <v>0</v>
      </c>
      <c r="M11" s="8" t="s">
        <v>614</v>
      </c>
      <c r="N11" s="8" t="s">
        <v>612</v>
      </c>
      <c r="O11" s="21" t="s">
        <v>613</v>
      </c>
    </row>
    <row r="12" spans="1:15" x14ac:dyDescent="0.3">
      <c r="A12" s="7" t="s">
        <v>124</v>
      </c>
      <c r="B12" s="107" t="str">
        <f>INDEX('Impact Scoring'!$B:$B,MATCH($A12,'Impact Scoring'!$A:$A,0))</f>
        <v>Environmental</v>
      </c>
      <c r="C12" s="108" t="str">
        <f>INDEX('Impact Scoring'!$C:$C,MATCH($A12,'Impact Scoring'!$A:$A,0))</f>
        <v>Ash Management</v>
      </c>
      <c r="D12" s="31">
        <f>INDEX('Impact Scoring'!$J:$J,MATCH($A12,'Impact Scoring'!$A:$A,0))</f>
        <v>3.4833333333333329</v>
      </c>
      <c r="E12" s="107" t="str">
        <f>INDEX('Impact Scoring'!$K:$K,MATCH($A12,'Impact Scoring'!$A:$A,0))</f>
        <v>High</v>
      </c>
      <c r="F12" s="109">
        <f>INDEX('Financial Scoring'!$F:$F,MATCH($A12,'Financial Scoring'!$A:$A,0))</f>
        <v>3.8</v>
      </c>
      <c r="G12" s="108" t="str">
        <f>INDEX('Financial Scoring'!$G:$G,MATCH($A12,'Financial Scoring'!$A:$A,0))</f>
        <v>High</v>
      </c>
      <c r="H12" s="11" t="str">
        <f t="shared" si="0"/>
        <v>Double Material</v>
      </c>
      <c r="M12" s="8" t="s">
        <v>614</v>
      </c>
      <c r="N12" s="8" t="s">
        <v>614</v>
      </c>
      <c r="O12" s="21" t="s">
        <v>615</v>
      </c>
    </row>
    <row r="13" spans="1:15" x14ac:dyDescent="0.3">
      <c r="A13" s="7" t="s">
        <v>128</v>
      </c>
      <c r="B13" s="107" t="str">
        <f>INDEX('Impact Scoring'!$B:$B,MATCH($A13,'Impact Scoring'!$A:$A,0))</f>
        <v>Environmental</v>
      </c>
      <c r="C13" s="108" t="str">
        <f>INDEX('Impact Scoring'!$C:$C,MATCH($A13,'Impact Scoring'!$A:$A,0))</f>
        <v>Land Use</v>
      </c>
      <c r="D13" s="31">
        <f>INDEX('Impact Scoring'!$J:$J,MATCH($A13,'Impact Scoring'!$A:$A,0))</f>
        <v>3.1166666666666663</v>
      </c>
      <c r="E13" s="107" t="str">
        <f>INDEX('Impact Scoring'!$K:$K,MATCH($A13,'Impact Scoring'!$A:$A,0))</f>
        <v>High</v>
      </c>
      <c r="F13" s="109">
        <f>INDEX('Financial Scoring'!$F:$F,MATCH($A13,'Financial Scoring'!$A:$A,0))</f>
        <v>2.5499999999999998</v>
      </c>
      <c r="G13" s="108" t="str">
        <f>INDEX('Financial Scoring'!$G:$G,MATCH($A13,'Financial Scoring'!$A:$A,0))</f>
        <v>Moderate</v>
      </c>
      <c r="H13" s="11" t="str">
        <f t="shared" si="0"/>
        <v>Impact Material</v>
      </c>
    </row>
    <row r="14" spans="1:15" x14ac:dyDescent="0.3">
      <c r="A14" s="7" t="s">
        <v>132</v>
      </c>
      <c r="B14" s="107" t="str">
        <f>INDEX('Impact Scoring'!$B:$B,MATCH($A14,'Impact Scoring'!$A:$A,0))</f>
        <v>Environmental</v>
      </c>
      <c r="C14" s="108" t="str">
        <f>INDEX('Impact Scoring'!$C:$C,MATCH($A14,'Impact Scoring'!$A:$A,0))</f>
        <v>Resource Use &amp; Circular Economy</v>
      </c>
      <c r="D14" s="31">
        <f>INDEX('Impact Scoring'!$J:$J,MATCH($A14,'Impact Scoring'!$A:$A,0))</f>
        <v>3.1666666666666665</v>
      </c>
      <c r="E14" s="107" t="str">
        <f>INDEX('Impact Scoring'!$K:$K,MATCH($A14,'Impact Scoring'!$A:$A,0))</f>
        <v>High</v>
      </c>
      <c r="F14" s="109">
        <f>INDEX('Financial Scoring'!$F:$F,MATCH($A14,'Financial Scoring'!$A:$A,0))</f>
        <v>2.8499999999999996</v>
      </c>
      <c r="G14" s="108" t="str">
        <f>INDEX('Financial Scoring'!$G:$G,MATCH($A14,'Financial Scoring'!$A:$A,0))</f>
        <v>Moderate</v>
      </c>
      <c r="H14" s="11" t="str">
        <f t="shared" si="0"/>
        <v>Impact Material</v>
      </c>
    </row>
    <row r="15" spans="1:15" x14ac:dyDescent="0.3">
      <c r="A15" s="7" t="s">
        <v>137</v>
      </c>
      <c r="B15" s="107" t="str">
        <f>INDEX('Impact Scoring'!$B:$B,MATCH($A15,'Impact Scoring'!$A:$A,0))</f>
        <v>Social</v>
      </c>
      <c r="C15" s="108" t="str">
        <f>INDEX('Impact Scoring'!$C:$C,MATCH($A15,'Impact Scoring'!$A:$A,0))</f>
        <v>Occupational Health &amp; Safety</v>
      </c>
      <c r="D15" s="31">
        <f>INDEX('Impact Scoring'!$J:$J,MATCH($A15,'Impact Scoring'!$A:$A,0))</f>
        <v>4.4333333333333336</v>
      </c>
      <c r="E15" s="107" t="str">
        <f>INDEX('Impact Scoring'!$K:$K,MATCH($A15,'Impact Scoring'!$A:$A,0))</f>
        <v>Very High</v>
      </c>
      <c r="F15" s="109">
        <f>INDEX('Financial Scoring'!$F:$F,MATCH($A15,'Financial Scoring'!$A:$A,0))</f>
        <v>4.75</v>
      </c>
      <c r="G15" s="108" t="str">
        <f>INDEX('Financial Scoring'!$G:$G,MATCH($A15,'Financial Scoring'!$A:$A,0))</f>
        <v>Very High</v>
      </c>
      <c r="H15" s="11" t="str">
        <f t="shared" si="0"/>
        <v>Double Material</v>
      </c>
    </row>
    <row r="16" spans="1:15" x14ac:dyDescent="0.3">
      <c r="A16" s="7" t="s">
        <v>142</v>
      </c>
      <c r="B16" s="107" t="str">
        <f>INDEX('Impact Scoring'!$B:$B,MATCH($A16,'Impact Scoring'!$A:$A,0))</f>
        <v>Social</v>
      </c>
      <c r="C16" s="108" t="str">
        <f>INDEX('Impact Scoring'!$C:$C,MATCH($A16,'Impact Scoring'!$A:$A,0))</f>
        <v>Employee Health, Wellbeing &amp; Engagement</v>
      </c>
      <c r="D16" s="31">
        <f>INDEX('Impact Scoring'!$J:$J,MATCH($A16,'Impact Scoring'!$A:$A,0))</f>
        <v>3.1666666666666665</v>
      </c>
      <c r="E16" s="107" t="str">
        <f>INDEX('Impact Scoring'!$K:$K,MATCH($A16,'Impact Scoring'!$A:$A,0))</f>
        <v>High</v>
      </c>
      <c r="F16" s="109">
        <f>INDEX('Financial Scoring'!$F:$F,MATCH($A16,'Financial Scoring'!$A:$A,0))</f>
        <v>2.8499999999999996</v>
      </c>
      <c r="G16" s="108" t="str">
        <f>INDEX('Financial Scoring'!$G:$G,MATCH($A16,'Financial Scoring'!$A:$A,0))</f>
        <v>Moderate</v>
      </c>
      <c r="H16" s="11" t="str">
        <f t="shared" si="0"/>
        <v>Impact Material</v>
      </c>
    </row>
    <row r="17" spans="1:8" x14ac:dyDescent="0.3">
      <c r="A17" s="7" t="s">
        <v>147</v>
      </c>
      <c r="B17" s="107" t="str">
        <f>INDEX('Impact Scoring'!$B:$B,MATCH($A17,'Impact Scoring'!$A:$A,0))</f>
        <v>Social</v>
      </c>
      <c r="C17" s="108" t="str">
        <f>INDEX('Impact Scoring'!$C:$C,MATCH($A17,'Impact Scoring'!$A:$A,0))</f>
        <v>Diversity &amp; Inclusion</v>
      </c>
      <c r="D17" s="31">
        <f>INDEX('Impact Scoring'!$J:$J,MATCH($A17,'Impact Scoring'!$A:$A,0))</f>
        <v>3.1666666666666665</v>
      </c>
      <c r="E17" s="107" t="str">
        <f>INDEX('Impact Scoring'!$K:$K,MATCH($A17,'Impact Scoring'!$A:$A,0))</f>
        <v>High</v>
      </c>
      <c r="F17" s="109">
        <f>INDEX('Financial Scoring'!$F:$F,MATCH($A17,'Financial Scoring'!$A:$A,0))</f>
        <v>2.8499999999999996</v>
      </c>
      <c r="G17" s="108" t="str">
        <f>INDEX('Financial Scoring'!$G:$G,MATCH($A17,'Financial Scoring'!$A:$A,0))</f>
        <v>Moderate</v>
      </c>
      <c r="H17" s="11" t="str">
        <f t="shared" si="0"/>
        <v>Impact Material</v>
      </c>
    </row>
    <row r="18" spans="1:8" x14ac:dyDescent="0.3">
      <c r="A18" s="7" t="s">
        <v>151</v>
      </c>
      <c r="B18" s="107" t="str">
        <f>INDEX('Impact Scoring'!$B:$B,MATCH($A18,'Impact Scoring'!$A:$A,0))</f>
        <v>Social</v>
      </c>
      <c r="C18" s="108" t="str">
        <f>INDEX('Impact Scoring'!$C:$C,MATCH($A18,'Impact Scoring'!$A:$A,0))</f>
        <v>Talent Development</v>
      </c>
      <c r="D18" s="31">
        <f>INDEX('Impact Scoring'!$J:$J,MATCH($A18,'Impact Scoring'!$A:$A,0))</f>
        <v>2.8499999999999996</v>
      </c>
      <c r="E18" s="107" t="str">
        <f>INDEX('Impact Scoring'!$K:$K,MATCH($A18,'Impact Scoring'!$A:$A,0))</f>
        <v>Moderate</v>
      </c>
      <c r="F18" s="109">
        <f>INDEX('Financial Scoring'!$F:$F,MATCH($A18,'Financial Scoring'!$A:$A,0))</f>
        <v>3.8</v>
      </c>
      <c r="G18" s="108" t="str">
        <f>INDEX('Financial Scoring'!$G:$G,MATCH($A18,'Financial Scoring'!$A:$A,0))</f>
        <v>High</v>
      </c>
      <c r="H18" s="11" t="str">
        <f t="shared" si="0"/>
        <v>Financially Material</v>
      </c>
    </row>
    <row r="19" spans="1:8" x14ac:dyDescent="0.3">
      <c r="A19" s="7" t="s">
        <v>156</v>
      </c>
      <c r="B19" s="107" t="str">
        <f>INDEX('Impact Scoring'!$B:$B,MATCH($A19,'Impact Scoring'!$A:$A,0))</f>
        <v>Social</v>
      </c>
      <c r="C19" s="108" t="str">
        <f>INDEX('Impact Scoring'!$C:$C,MATCH($A19,'Impact Scoring'!$A:$A,0))</f>
        <v>Labour Relations &amp; Working Conditions</v>
      </c>
      <c r="D19" s="31">
        <f>INDEX('Impact Scoring'!$J:$J,MATCH($A19,'Impact Scoring'!$A:$A,0))</f>
        <v>3.4</v>
      </c>
      <c r="E19" s="107" t="str">
        <f>INDEX('Impact Scoring'!$K:$K,MATCH($A19,'Impact Scoring'!$A:$A,0))</f>
        <v>High</v>
      </c>
      <c r="F19" s="109">
        <f>INDEX('Financial Scoring'!$F:$F,MATCH($A19,'Financial Scoring'!$A:$A,0))</f>
        <v>3.4</v>
      </c>
      <c r="G19" s="108" t="str">
        <f>INDEX('Financial Scoring'!$G:$G,MATCH($A19,'Financial Scoring'!$A:$A,0))</f>
        <v>High</v>
      </c>
      <c r="H19" s="11" t="str">
        <f t="shared" si="0"/>
        <v>Double Material</v>
      </c>
    </row>
    <row r="20" spans="1:8" x14ac:dyDescent="0.3">
      <c r="A20" s="7" t="s">
        <v>160</v>
      </c>
      <c r="B20" s="107" t="str">
        <f>INDEX('Impact Scoring'!$B:$B,MATCH($A20,'Impact Scoring'!$A:$A,0))</f>
        <v>Social</v>
      </c>
      <c r="C20" s="108" t="str">
        <f>INDEX('Impact Scoring'!$C:$C,MATCH($A20,'Impact Scoring'!$A:$A,0))</f>
        <v>Human Rights</v>
      </c>
      <c r="D20" s="31">
        <f>INDEX('Impact Scoring'!$J:$J,MATCH($A20,'Impact Scoring'!$A:$A,0))</f>
        <v>3.9666666666666668</v>
      </c>
      <c r="E20" s="107" t="str">
        <f>INDEX('Impact Scoring'!$K:$K,MATCH($A20,'Impact Scoring'!$A:$A,0))</f>
        <v>High</v>
      </c>
      <c r="F20" s="109">
        <f>INDEX('Financial Scoring'!$F:$F,MATCH($A20,'Financial Scoring'!$A:$A,0))</f>
        <v>3.4</v>
      </c>
      <c r="G20" s="108" t="str">
        <f>INDEX('Financial Scoring'!$G:$G,MATCH($A20,'Financial Scoring'!$A:$A,0))</f>
        <v>High</v>
      </c>
      <c r="H20" s="11" t="str">
        <f t="shared" si="0"/>
        <v>Double Material</v>
      </c>
    </row>
    <row r="21" spans="1:8" x14ac:dyDescent="0.3">
      <c r="A21" s="7" t="s">
        <v>165</v>
      </c>
      <c r="B21" s="107" t="str">
        <f>INDEX('Impact Scoring'!$B:$B,MATCH($A21,'Impact Scoring'!$A:$A,0))</f>
        <v>Social</v>
      </c>
      <c r="C21" s="108" t="str">
        <f>INDEX('Impact Scoring'!$C:$C,MATCH($A21,'Impact Scoring'!$A:$A,0))</f>
        <v>Community Impact</v>
      </c>
      <c r="D21" s="31">
        <f>INDEX('Impact Scoring'!$J:$J,MATCH($A21,'Impact Scoring'!$A:$A,0))</f>
        <v>4.1166666666666663</v>
      </c>
      <c r="E21" s="107" t="str">
        <f>INDEX('Impact Scoring'!$K:$K,MATCH($A21,'Impact Scoring'!$A:$A,0))</f>
        <v>Very High</v>
      </c>
      <c r="F21" s="109">
        <f>INDEX('Financial Scoring'!$F:$F,MATCH($A21,'Financial Scoring'!$A:$A,0))</f>
        <v>3.4</v>
      </c>
      <c r="G21" s="108" t="str">
        <f>INDEX('Financial Scoring'!$G:$G,MATCH($A21,'Financial Scoring'!$A:$A,0))</f>
        <v>High</v>
      </c>
      <c r="H21" s="11" t="str">
        <f t="shared" si="0"/>
        <v>Double Material</v>
      </c>
    </row>
    <row r="22" spans="1:8" x14ac:dyDescent="0.3">
      <c r="A22" s="7" t="s">
        <v>170</v>
      </c>
      <c r="B22" s="107" t="str">
        <f>INDEX('Impact Scoring'!$B:$B,MATCH($A22,'Impact Scoring'!$A:$A,0))</f>
        <v>Social</v>
      </c>
      <c r="C22" s="108" t="str">
        <f>INDEX('Impact Scoring'!$C:$C,MATCH($A22,'Impact Scoring'!$A:$A,0))</f>
        <v>Access &amp; Affordability</v>
      </c>
      <c r="D22" s="31">
        <f>INDEX('Impact Scoring'!$J:$J,MATCH($A22,'Impact Scoring'!$A:$A,0))</f>
        <v>4.1166666666666663</v>
      </c>
      <c r="E22" s="107" t="str">
        <f>INDEX('Impact Scoring'!$K:$K,MATCH($A22,'Impact Scoring'!$A:$A,0))</f>
        <v>Very High</v>
      </c>
      <c r="F22" s="109">
        <f>INDEX('Financial Scoring'!$F:$F,MATCH($A22,'Financial Scoring'!$A:$A,0))</f>
        <v>4.75</v>
      </c>
      <c r="G22" s="108" t="str">
        <f>INDEX('Financial Scoring'!$G:$G,MATCH($A22,'Financial Scoring'!$A:$A,0))</f>
        <v>Very High</v>
      </c>
      <c r="H22" s="11" t="str">
        <f t="shared" si="0"/>
        <v>Double Material</v>
      </c>
    </row>
    <row r="23" spans="1:8" x14ac:dyDescent="0.3">
      <c r="A23" s="7" t="s">
        <v>175</v>
      </c>
      <c r="B23" s="107" t="str">
        <f>INDEX('Impact Scoring'!$B:$B,MATCH($A23,'Impact Scoring'!$A:$A,0))</f>
        <v>Social</v>
      </c>
      <c r="C23" s="108" t="str">
        <f>INDEX('Impact Scoring'!$C:$C,MATCH($A23,'Impact Scoring'!$A:$A,0))</f>
        <v>Customer Service &amp; Consumer Protection</v>
      </c>
      <c r="D23" s="31">
        <f>INDEX('Impact Scoring'!$J:$J,MATCH($A23,'Impact Scoring'!$A:$A,0))</f>
        <v>3.4833333333333329</v>
      </c>
      <c r="E23" s="107" t="str">
        <f>INDEX('Impact Scoring'!$K:$K,MATCH($A23,'Impact Scoring'!$A:$A,0))</f>
        <v>High</v>
      </c>
      <c r="F23" s="109">
        <f>INDEX('Financial Scoring'!$F:$F,MATCH($A23,'Financial Scoring'!$A:$A,0))</f>
        <v>3.8</v>
      </c>
      <c r="G23" s="108" t="str">
        <f>INDEX('Financial Scoring'!$G:$G,MATCH($A23,'Financial Scoring'!$A:$A,0))</f>
        <v>High</v>
      </c>
      <c r="H23" s="11" t="str">
        <f t="shared" si="0"/>
        <v>Double Material</v>
      </c>
    </row>
    <row r="24" spans="1:8" x14ac:dyDescent="0.3">
      <c r="A24" s="7" t="s">
        <v>180</v>
      </c>
      <c r="B24" s="107" t="str">
        <f>INDEX('Impact Scoring'!$B:$B,MATCH($A24,'Impact Scoring'!$A:$A,0))</f>
        <v>Social</v>
      </c>
      <c r="C24" s="108" t="str">
        <f>INDEX('Impact Scoring'!$C:$C,MATCH($A24,'Impact Scoring'!$A:$A,0))</f>
        <v>Energy Reliability</v>
      </c>
      <c r="D24" s="31">
        <f>INDEX('Impact Scoring'!$J:$J,MATCH($A24,'Impact Scoring'!$A:$A,0))</f>
        <v>4.4333333333333336</v>
      </c>
      <c r="E24" s="107" t="str">
        <f>INDEX('Impact Scoring'!$K:$K,MATCH($A24,'Impact Scoring'!$A:$A,0))</f>
        <v>Very High</v>
      </c>
      <c r="F24" s="109">
        <f>INDEX('Financial Scoring'!$F:$F,MATCH($A24,'Financial Scoring'!$A:$A,0))</f>
        <v>5</v>
      </c>
      <c r="G24" s="108" t="str">
        <f>INDEX('Financial Scoring'!$G:$G,MATCH($A24,'Financial Scoring'!$A:$A,0))</f>
        <v>Very High</v>
      </c>
      <c r="H24" s="11" t="str">
        <f t="shared" si="0"/>
        <v>Double Material</v>
      </c>
    </row>
    <row r="25" spans="1:8" x14ac:dyDescent="0.3">
      <c r="A25" s="7" t="s">
        <v>185</v>
      </c>
      <c r="B25" s="107" t="str">
        <f>INDEX('Impact Scoring'!$B:$B,MATCH($A25,'Impact Scoring'!$A:$A,0))</f>
        <v>Governance</v>
      </c>
      <c r="C25" s="108" t="str">
        <f>INDEX('Impact Scoring'!$C:$C,MATCH($A25,'Impact Scoring'!$A:$A,0))</f>
        <v>Business Ethics — Anti-corruption</v>
      </c>
      <c r="D25" s="31">
        <f>INDEX('Impact Scoring'!$J:$J,MATCH($A25,'Impact Scoring'!$A:$A,0))</f>
        <v>3.4</v>
      </c>
      <c r="E25" s="107" t="str">
        <f>INDEX('Impact Scoring'!$K:$K,MATCH($A25,'Impact Scoring'!$A:$A,0))</f>
        <v>High</v>
      </c>
      <c r="F25" s="109">
        <f>INDEX('Financial Scoring'!$F:$F,MATCH($A25,'Financial Scoring'!$A:$A,0))</f>
        <v>4.25</v>
      </c>
      <c r="G25" s="108" t="str">
        <f>INDEX('Financial Scoring'!$G:$G,MATCH($A25,'Financial Scoring'!$A:$A,0))</f>
        <v>Very High</v>
      </c>
      <c r="H25" s="11" t="str">
        <f t="shared" si="0"/>
        <v>Double Material</v>
      </c>
    </row>
    <row r="26" spans="1:8" x14ac:dyDescent="0.3">
      <c r="A26" s="7" t="s">
        <v>190</v>
      </c>
      <c r="B26" s="107" t="str">
        <f>INDEX('Impact Scoring'!$B:$B,MATCH($A26,'Impact Scoring'!$A:$A,0))</f>
        <v>Governance</v>
      </c>
      <c r="C26" s="108" t="str">
        <f>INDEX('Impact Scoring'!$C:$C,MATCH($A26,'Impact Scoring'!$A:$A,0))</f>
        <v>Regulatory Compliance</v>
      </c>
      <c r="D26" s="31">
        <f>INDEX('Impact Scoring'!$J:$J,MATCH($A26,'Impact Scoring'!$A:$A,0))</f>
        <v>4.1166666666666663</v>
      </c>
      <c r="E26" s="107" t="str">
        <f>INDEX('Impact Scoring'!$K:$K,MATCH($A26,'Impact Scoring'!$A:$A,0))</f>
        <v>Very High</v>
      </c>
      <c r="F26" s="109">
        <f>INDEX('Financial Scoring'!$F:$F,MATCH($A26,'Financial Scoring'!$A:$A,0))</f>
        <v>4.75</v>
      </c>
      <c r="G26" s="108" t="str">
        <f>INDEX('Financial Scoring'!$G:$G,MATCH($A26,'Financial Scoring'!$A:$A,0))</f>
        <v>Very High</v>
      </c>
      <c r="H26" s="11" t="str">
        <f t="shared" si="0"/>
        <v>Double Material</v>
      </c>
    </row>
    <row r="27" spans="1:8" x14ac:dyDescent="0.3">
      <c r="A27" s="7" t="s">
        <v>194</v>
      </c>
      <c r="B27" s="107" t="str">
        <f>INDEX('Impact Scoring'!$B:$B,MATCH($A27,'Impact Scoring'!$A:$A,0))</f>
        <v>Governance</v>
      </c>
      <c r="C27" s="108" t="str">
        <f>INDEX('Impact Scoring'!$C:$C,MATCH($A27,'Impact Scoring'!$A:$A,0))</f>
        <v>ESG Governance</v>
      </c>
      <c r="D27" s="31">
        <f>INDEX('Impact Scoring'!$J:$J,MATCH($A27,'Impact Scoring'!$A:$A,0))</f>
        <v>4.1166666666666663</v>
      </c>
      <c r="E27" s="107" t="str">
        <f>INDEX('Impact Scoring'!$K:$K,MATCH($A27,'Impact Scoring'!$A:$A,0))</f>
        <v>Very High</v>
      </c>
      <c r="F27" s="109">
        <f>INDEX('Financial Scoring'!$F:$F,MATCH($A27,'Financial Scoring'!$A:$A,0))</f>
        <v>3.8</v>
      </c>
      <c r="G27" s="108" t="str">
        <f>INDEX('Financial Scoring'!$G:$G,MATCH($A27,'Financial Scoring'!$A:$A,0))</f>
        <v>High</v>
      </c>
      <c r="H27" s="11" t="str">
        <f t="shared" si="0"/>
        <v>Double Material</v>
      </c>
    </row>
    <row r="28" spans="1:8" x14ac:dyDescent="0.3">
      <c r="A28" s="7" t="s">
        <v>199</v>
      </c>
      <c r="B28" s="107" t="str">
        <f>INDEX('Impact Scoring'!$B:$B,MATCH($A28,'Impact Scoring'!$A:$A,0))</f>
        <v>Governance</v>
      </c>
      <c r="C28" s="108" t="str">
        <f>INDEX('Impact Scoring'!$C:$C,MATCH($A28,'Impact Scoring'!$A:$A,0))</f>
        <v>Risk Management — ESG Risk</v>
      </c>
      <c r="D28" s="31">
        <f>INDEX('Impact Scoring'!$J:$J,MATCH($A28,'Impact Scoring'!$A:$A,0))</f>
        <v>4.1166666666666663</v>
      </c>
      <c r="E28" s="107" t="str">
        <f>INDEX('Impact Scoring'!$K:$K,MATCH($A28,'Impact Scoring'!$A:$A,0))</f>
        <v>Very High</v>
      </c>
      <c r="F28" s="109">
        <f>INDEX('Financial Scoring'!$F:$F,MATCH($A28,'Financial Scoring'!$A:$A,0))</f>
        <v>4.75</v>
      </c>
      <c r="G28" s="108" t="str">
        <f>INDEX('Financial Scoring'!$G:$G,MATCH($A28,'Financial Scoring'!$A:$A,0))</f>
        <v>Very High</v>
      </c>
      <c r="H28" s="11" t="str">
        <f t="shared" si="0"/>
        <v>Double Material</v>
      </c>
    </row>
    <row r="29" spans="1:8" x14ac:dyDescent="0.3">
      <c r="A29" s="7" t="s">
        <v>203</v>
      </c>
      <c r="B29" s="107" t="str">
        <f>INDEX('Impact Scoring'!$B:$B,MATCH($A29,'Impact Scoring'!$A:$A,0))</f>
        <v>Governance</v>
      </c>
      <c r="C29" s="108" t="str">
        <f>INDEX('Impact Scoring'!$C:$C,MATCH($A29,'Impact Scoring'!$A:$A,0))</f>
        <v>Cybersecurity — Cyber Risk</v>
      </c>
      <c r="D29" s="31">
        <f>INDEX('Impact Scoring'!$J:$J,MATCH($A29,'Impact Scoring'!$A:$A,0))</f>
        <v>4.75</v>
      </c>
      <c r="E29" s="107" t="str">
        <f>INDEX('Impact Scoring'!$K:$K,MATCH($A29,'Impact Scoring'!$A:$A,0))</f>
        <v>Very High</v>
      </c>
      <c r="F29" s="109">
        <f>INDEX('Financial Scoring'!$F:$F,MATCH($A29,'Financial Scoring'!$A:$A,0))</f>
        <v>4.75</v>
      </c>
      <c r="G29" s="108" t="str">
        <f>INDEX('Financial Scoring'!$G:$G,MATCH($A29,'Financial Scoring'!$A:$A,0))</f>
        <v>Very High</v>
      </c>
      <c r="H29" s="11" t="str">
        <f t="shared" si="0"/>
        <v>Double Material</v>
      </c>
    </row>
    <row r="30" spans="1:8" x14ac:dyDescent="0.3">
      <c r="A30" s="7" t="s">
        <v>208</v>
      </c>
      <c r="B30" s="107" t="str">
        <f>INDEX('Impact Scoring'!$B:$B,MATCH($A30,'Impact Scoring'!$A:$A,0))</f>
        <v>Governance</v>
      </c>
      <c r="C30" s="108" t="str">
        <f>INDEX('Impact Scoring'!$C:$C,MATCH($A30,'Impact Scoring'!$A:$A,0))</f>
        <v>Data Privacy</v>
      </c>
      <c r="D30" s="31">
        <f>INDEX('Impact Scoring'!$J:$J,MATCH($A30,'Impact Scoring'!$A:$A,0))</f>
        <v>3.6833333333333331</v>
      </c>
      <c r="E30" s="107" t="str">
        <f>INDEX('Impact Scoring'!$K:$K,MATCH($A30,'Impact Scoring'!$A:$A,0))</f>
        <v>High</v>
      </c>
      <c r="F30" s="109">
        <f>INDEX('Financial Scoring'!$F:$F,MATCH($A30,'Financial Scoring'!$A:$A,0))</f>
        <v>3.4</v>
      </c>
      <c r="G30" s="108" t="str">
        <f>INDEX('Financial Scoring'!$G:$G,MATCH($A30,'Financial Scoring'!$A:$A,0))</f>
        <v>High</v>
      </c>
      <c r="H30" s="11" t="str">
        <f t="shared" si="0"/>
        <v>Double Material</v>
      </c>
    </row>
    <row r="31" spans="1:8" x14ac:dyDescent="0.3">
      <c r="A31" s="7" t="s">
        <v>212</v>
      </c>
      <c r="B31" s="107" t="str">
        <f>INDEX('Impact Scoring'!$B:$B,MATCH($A31,'Impact Scoring'!$A:$A,0))</f>
        <v>Governance</v>
      </c>
      <c r="C31" s="108" t="str">
        <f>INDEX('Impact Scoring'!$C:$C,MATCH($A31,'Impact Scoring'!$A:$A,0))</f>
        <v>Responsible Supply Chain</v>
      </c>
      <c r="D31" s="31">
        <f>INDEX('Impact Scoring'!$J:$J,MATCH($A31,'Impact Scoring'!$A:$A,0))</f>
        <v>3.4</v>
      </c>
      <c r="E31" s="107" t="str">
        <f>INDEX('Impact Scoring'!$K:$K,MATCH($A31,'Impact Scoring'!$A:$A,0))</f>
        <v>High</v>
      </c>
      <c r="F31" s="109">
        <f>INDEX('Financial Scoring'!$F:$F,MATCH($A31,'Financial Scoring'!$A:$A,0))</f>
        <v>3.4</v>
      </c>
      <c r="G31" s="108" t="str">
        <f>INDEX('Financial Scoring'!$G:$G,MATCH($A31,'Financial Scoring'!$A:$A,0))</f>
        <v>High</v>
      </c>
      <c r="H31" s="11" t="str">
        <f t="shared" si="0"/>
        <v>Double Material</v>
      </c>
    </row>
    <row r="32" spans="1:8" x14ac:dyDescent="0.3">
      <c r="A32" s="7" t="s">
        <v>217</v>
      </c>
      <c r="B32" s="107" t="str">
        <f>INDEX('Impact Scoring'!$B:$B,MATCH($A32,'Impact Scoring'!$A:$A,0))</f>
        <v>Governance</v>
      </c>
      <c r="C32" s="108" t="str">
        <f>INDEX('Impact Scoring'!$C:$C,MATCH($A32,'Impact Scoring'!$A:$A,0))</f>
        <v>Transparency &amp; Accountability</v>
      </c>
      <c r="D32" s="31">
        <f>INDEX('Impact Scoring'!$J:$J,MATCH($A32,'Impact Scoring'!$A:$A,0))</f>
        <v>3.1166666666666663</v>
      </c>
      <c r="E32" s="107" t="str">
        <f>INDEX('Impact Scoring'!$K:$K,MATCH($A32,'Impact Scoring'!$A:$A,0))</f>
        <v>High</v>
      </c>
      <c r="F32" s="109">
        <f>INDEX('Financial Scoring'!$F:$F,MATCH($A32,'Financial Scoring'!$A:$A,0))</f>
        <v>2.5499999999999998</v>
      </c>
      <c r="G32" s="108" t="str">
        <f>INDEX('Financial Scoring'!$G:$G,MATCH($A32,'Financial Scoring'!$A:$A,0))</f>
        <v>Moderate</v>
      </c>
      <c r="H32" s="11" t="str">
        <f t="shared" si="0"/>
        <v>Impact Material</v>
      </c>
    </row>
    <row r="33" spans="1:8" x14ac:dyDescent="0.3">
      <c r="A33" s="7" t="s">
        <v>221</v>
      </c>
      <c r="B33" s="107" t="str">
        <f>INDEX('Impact Scoring'!$B:$B,MATCH($A33,'Impact Scoring'!$A:$A,0))</f>
        <v>Governance</v>
      </c>
      <c r="C33" s="108" t="str">
        <f>INDEX('Impact Scoring'!$C:$C,MATCH($A33,'Impact Scoring'!$A:$A,0))</f>
        <v>Innovation — Clean Technology</v>
      </c>
      <c r="D33" s="31">
        <f>INDEX('Impact Scoring'!$J:$J,MATCH($A33,'Impact Scoring'!$A:$A,0))</f>
        <v>3.8</v>
      </c>
      <c r="E33" s="107" t="str">
        <f>INDEX('Impact Scoring'!$K:$K,MATCH($A33,'Impact Scoring'!$A:$A,0))</f>
        <v>High</v>
      </c>
      <c r="F33" s="109">
        <f>INDEX('Financial Scoring'!$F:$F,MATCH($A33,'Financial Scoring'!$A:$A,0))</f>
        <v>4.75</v>
      </c>
      <c r="G33" s="108" t="str">
        <f>INDEX('Financial Scoring'!$G:$G,MATCH($A33,'Financial Scoring'!$A:$A,0))</f>
        <v>Very High</v>
      </c>
      <c r="H33" s="11" t="str">
        <f t="shared" si="0"/>
        <v>Double Material</v>
      </c>
    </row>
    <row r="34" spans="1:8" x14ac:dyDescent="0.3">
      <c r="A34" s="7" t="s">
        <v>226</v>
      </c>
      <c r="B34" s="107" t="str">
        <f>INDEX('Impact Scoring'!$B:$B,MATCH($A34,'Impact Scoring'!$A:$A,0))</f>
        <v>Governance</v>
      </c>
      <c r="C34" s="108" t="str">
        <f>INDEX('Impact Scoring'!$C:$C,MATCH($A34,'Impact Scoring'!$A:$A,0))</f>
        <v>Creating Economic Value</v>
      </c>
      <c r="D34" s="31">
        <f>INDEX('Impact Scoring'!$J:$J,MATCH($A34,'Impact Scoring'!$A:$A,0))</f>
        <v>3.1166666666666663</v>
      </c>
      <c r="E34" s="107" t="str">
        <f>INDEX('Impact Scoring'!$K:$K,MATCH($A34,'Impact Scoring'!$A:$A,0))</f>
        <v>High</v>
      </c>
      <c r="F34" s="109">
        <f>INDEX('Financial Scoring'!$F:$F,MATCH($A34,'Financial Scoring'!$A:$A,0))</f>
        <v>3.4</v>
      </c>
      <c r="G34" s="108" t="str">
        <f>INDEX('Financial Scoring'!$G:$G,MATCH($A34,'Financial Scoring'!$A:$A,0))</f>
        <v>High</v>
      </c>
      <c r="H34" s="11" t="str">
        <f t="shared" si="0"/>
        <v>Double Material</v>
      </c>
    </row>
  </sheetData>
  <mergeCells count="5">
    <mergeCell ref="M2:N2"/>
    <mergeCell ref="J2:K2"/>
    <mergeCell ref="A2:H2"/>
    <mergeCell ref="M7:O7"/>
    <mergeCell ref="A1:H1"/>
  </mergeCell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K34"/>
  <sheetViews>
    <sheetView topLeftCell="C2" zoomScale="99" workbookViewId="0">
      <selection activeCell="J8" sqref="J8"/>
    </sheetView>
  </sheetViews>
  <sheetFormatPr defaultRowHeight="14.4" x14ac:dyDescent="0.3"/>
  <cols>
    <col min="1" max="1" width="8.88671875" style="2" customWidth="1"/>
    <col min="2" max="2" width="31" style="2" bestFit="1" customWidth="1"/>
    <col min="3" max="3" width="17.5546875" style="2" customWidth="1"/>
    <col min="4" max="4" width="35" style="2" customWidth="1"/>
    <col min="5" max="5" width="25.88671875" style="2" customWidth="1"/>
    <col min="6" max="6" width="50" style="2" customWidth="1"/>
    <col min="7" max="7" width="28.6640625" style="2" customWidth="1"/>
    <col min="8" max="9" width="8.88671875" style="2" customWidth="1"/>
    <col min="10" max="10" width="30.109375" style="2" customWidth="1"/>
    <col min="11" max="11" width="61.44140625" style="2" customWidth="1"/>
    <col min="12" max="12" width="8.88671875" style="2" customWidth="1"/>
    <col min="13" max="16384" width="8.88671875" style="2"/>
  </cols>
  <sheetData>
    <row r="1" spans="1:11" ht="18" customHeight="1" x14ac:dyDescent="0.35">
      <c r="A1" s="118" t="s">
        <v>616</v>
      </c>
      <c r="B1" s="130"/>
      <c r="C1" s="130"/>
      <c r="D1" s="130"/>
      <c r="E1" s="130"/>
      <c r="F1" s="130"/>
      <c r="G1" s="130"/>
      <c r="H1" s="131"/>
    </row>
    <row r="2" spans="1:11" ht="15.6" customHeight="1" x14ac:dyDescent="0.3">
      <c r="A2" s="178" t="s">
        <v>617</v>
      </c>
      <c r="B2" s="130"/>
      <c r="C2" s="130"/>
      <c r="D2" s="130"/>
      <c r="E2" s="130"/>
      <c r="F2" s="130"/>
      <c r="G2" s="130"/>
      <c r="H2" s="131"/>
    </row>
    <row r="4" spans="1:11" x14ac:dyDescent="0.3">
      <c r="A4" s="44" t="s">
        <v>36</v>
      </c>
      <c r="B4" s="44" t="s">
        <v>85</v>
      </c>
      <c r="C4" s="44" t="s">
        <v>618</v>
      </c>
      <c r="D4" s="44" t="s">
        <v>619</v>
      </c>
      <c r="E4" s="44" t="s">
        <v>620</v>
      </c>
      <c r="F4" s="44" t="s">
        <v>621</v>
      </c>
      <c r="G4" s="44" t="s">
        <v>622</v>
      </c>
      <c r="H4" s="44" t="s">
        <v>623</v>
      </c>
    </row>
    <row r="5" spans="1:11" ht="43.2" customHeight="1" x14ac:dyDescent="0.3">
      <c r="A5" s="11" t="s">
        <v>89</v>
      </c>
      <c r="B5" s="7" t="s">
        <v>90</v>
      </c>
      <c r="C5" s="7" t="str">
        <f>INDEX('DMA Matrix'!$H$5:$H$34,MATCH($A5,'DMA Matrix'!$A$5:$A$34,0))</f>
        <v>Double Material</v>
      </c>
      <c r="D5" s="7" t="s">
        <v>624</v>
      </c>
      <c r="E5" s="7" t="s">
        <v>625</v>
      </c>
      <c r="F5" s="7" t="s">
        <v>626</v>
      </c>
      <c r="G5" s="7" t="s">
        <v>627</v>
      </c>
      <c r="H5" s="11" t="s">
        <v>628</v>
      </c>
      <c r="J5" s="41" t="s">
        <v>620</v>
      </c>
      <c r="K5" s="41" t="s">
        <v>578</v>
      </c>
    </row>
    <row r="6" spans="1:11" ht="43.2" customHeight="1" x14ac:dyDescent="0.3">
      <c r="A6" s="11" t="s">
        <v>94</v>
      </c>
      <c r="B6" s="7" t="s">
        <v>95</v>
      </c>
      <c r="C6" s="7" t="str">
        <f>INDEX('DMA Matrix'!$H$5:$H$34,MATCH($A6,'DMA Matrix'!$A$5:$A$34,0))</f>
        <v>Double Material</v>
      </c>
      <c r="D6" s="7" t="s">
        <v>629</v>
      </c>
      <c r="E6" s="7" t="s">
        <v>630</v>
      </c>
      <c r="F6" s="7" t="s">
        <v>631</v>
      </c>
      <c r="G6" s="7" t="s">
        <v>632</v>
      </c>
      <c r="H6" s="11" t="s">
        <v>628</v>
      </c>
      <c r="J6" s="11" t="s">
        <v>38</v>
      </c>
      <c r="K6" s="7" t="s">
        <v>633</v>
      </c>
    </row>
    <row r="7" spans="1:11" ht="28.8" customHeight="1" x14ac:dyDescent="0.3">
      <c r="A7" s="11" t="s">
        <v>99</v>
      </c>
      <c r="B7" s="7" t="s">
        <v>100</v>
      </c>
      <c r="C7" s="7" t="str">
        <f>INDEX('DMA Matrix'!$H$5:$H$34,MATCH($A7,'DMA Matrix'!$A$5:$A$34,0))</f>
        <v>Double Material</v>
      </c>
      <c r="D7" s="7" t="s">
        <v>634</v>
      </c>
      <c r="E7" s="7" t="s">
        <v>625</v>
      </c>
      <c r="F7" s="7" t="s">
        <v>635</v>
      </c>
      <c r="G7" s="7" t="s">
        <v>636</v>
      </c>
      <c r="H7" s="11" t="s">
        <v>250</v>
      </c>
      <c r="J7" s="11" t="s">
        <v>315</v>
      </c>
      <c r="K7" s="7" t="s">
        <v>637</v>
      </c>
    </row>
    <row r="8" spans="1:11" ht="28.8" customHeight="1" x14ac:dyDescent="0.3">
      <c r="A8" s="11" t="s">
        <v>104</v>
      </c>
      <c r="B8" s="7" t="s">
        <v>105</v>
      </c>
      <c r="C8" s="7" t="str">
        <f>INDEX('DMA Matrix'!$H$5:$H$34,MATCH($A8,'DMA Matrix'!$A$5:$A$34,0))</f>
        <v>Double Material</v>
      </c>
      <c r="D8" s="7" t="s">
        <v>638</v>
      </c>
      <c r="E8" s="7" t="s">
        <v>630</v>
      </c>
      <c r="F8" s="7" t="s">
        <v>639</v>
      </c>
      <c r="G8" s="7" t="s">
        <v>640</v>
      </c>
      <c r="H8" s="11" t="s">
        <v>250</v>
      </c>
      <c r="J8" s="11" t="s">
        <v>641</v>
      </c>
      <c r="K8" s="7" t="s">
        <v>642</v>
      </c>
    </row>
    <row r="9" spans="1:11" ht="28.8" customHeight="1" x14ac:dyDescent="0.3">
      <c r="A9" s="11" t="s">
        <v>109</v>
      </c>
      <c r="B9" s="7" t="s">
        <v>263</v>
      </c>
      <c r="C9" s="7" t="str">
        <f>INDEX('DMA Matrix'!$H$5:$H$34,MATCH($A9,'DMA Matrix'!$A$5:$A$34,0))</f>
        <v>Double Material</v>
      </c>
      <c r="D9" s="7" t="s">
        <v>643</v>
      </c>
      <c r="E9" s="7" t="s">
        <v>630</v>
      </c>
      <c r="F9" s="7" t="s">
        <v>644</v>
      </c>
      <c r="G9" s="7" t="s">
        <v>645</v>
      </c>
      <c r="H9" s="11" t="s">
        <v>250</v>
      </c>
      <c r="J9" s="11" t="s">
        <v>630</v>
      </c>
      <c r="K9" s="7" t="s">
        <v>646</v>
      </c>
    </row>
    <row r="10" spans="1:11" ht="28.8" customHeight="1" x14ac:dyDescent="0.3">
      <c r="A10" s="11" t="s">
        <v>114</v>
      </c>
      <c r="B10" s="7" t="s">
        <v>115</v>
      </c>
      <c r="C10" s="7" t="str">
        <f>INDEX('DMA Matrix'!$H$5:$H$34,MATCH($A10,'DMA Matrix'!$A$5:$A$34,0))</f>
        <v>Impact Material</v>
      </c>
      <c r="D10" s="7" t="s">
        <v>647</v>
      </c>
      <c r="E10" s="7" t="s">
        <v>630</v>
      </c>
      <c r="F10" s="7" t="s">
        <v>648</v>
      </c>
      <c r="G10" s="7" t="s">
        <v>649</v>
      </c>
      <c r="H10" s="11" t="s">
        <v>650</v>
      </c>
      <c r="J10" s="11" t="s">
        <v>651</v>
      </c>
      <c r="K10" s="7" t="s">
        <v>652</v>
      </c>
    </row>
    <row r="11" spans="1:11" ht="28.8" customHeight="1" x14ac:dyDescent="0.3">
      <c r="A11" s="11" t="s">
        <v>119</v>
      </c>
      <c r="B11" s="7" t="s">
        <v>120</v>
      </c>
      <c r="C11" s="7" t="str">
        <f>INDEX('DMA Matrix'!$H$5:$H$34,MATCH($A11,'DMA Matrix'!$A$5:$A$34,0))</f>
        <v>Impact Material</v>
      </c>
      <c r="D11" s="7" t="s">
        <v>653</v>
      </c>
      <c r="E11" s="7" t="s">
        <v>625</v>
      </c>
      <c r="F11" s="7" t="s">
        <v>654</v>
      </c>
      <c r="G11" s="7" t="s">
        <v>655</v>
      </c>
      <c r="H11" s="11" t="s">
        <v>650</v>
      </c>
      <c r="J11" s="11" t="s">
        <v>625</v>
      </c>
      <c r="K11" s="7" t="s">
        <v>656</v>
      </c>
    </row>
    <row r="12" spans="1:11" ht="28.8" customHeight="1" x14ac:dyDescent="0.3">
      <c r="A12" s="11" t="s">
        <v>124</v>
      </c>
      <c r="B12" s="7" t="s">
        <v>125</v>
      </c>
      <c r="C12" s="7" t="str">
        <f>INDEX('DMA Matrix'!$H$5:$H$34,MATCH($A12,'DMA Matrix'!$A$5:$A$34,0))</f>
        <v>Double Material</v>
      </c>
      <c r="D12" s="7" t="s">
        <v>657</v>
      </c>
      <c r="E12" s="7" t="s">
        <v>625</v>
      </c>
      <c r="F12" s="7" t="s">
        <v>658</v>
      </c>
      <c r="G12" s="7" t="s">
        <v>659</v>
      </c>
      <c r="H12" s="11" t="s">
        <v>250</v>
      </c>
    </row>
    <row r="13" spans="1:11" ht="28.8" customHeight="1" x14ac:dyDescent="0.3">
      <c r="A13" s="11" t="s">
        <v>128</v>
      </c>
      <c r="B13" s="7" t="s">
        <v>129</v>
      </c>
      <c r="C13" s="7" t="str">
        <f>INDEX('DMA Matrix'!$H$5:$H$34,MATCH($A13,'DMA Matrix'!$A$5:$A$34,0))</f>
        <v>Impact Material</v>
      </c>
      <c r="D13" s="7" t="s">
        <v>660</v>
      </c>
      <c r="E13" s="7" t="s">
        <v>630</v>
      </c>
      <c r="F13" s="7" t="s">
        <v>661</v>
      </c>
      <c r="G13" s="7" t="s">
        <v>662</v>
      </c>
      <c r="H13" s="11" t="s">
        <v>650</v>
      </c>
      <c r="J13" s="41" t="s">
        <v>623</v>
      </c>
      <c r="K13" s="41" t="s">
        <v>410</v>
      </c>
    </row>
    <row r="14" spans="1:11" ht="28.8" customHeight="1" x14ac:dyDescent="0.3">
      <c r="A14" s="11" t="s">
        <v>132</v>
      </c>
      <c r="B14" s="7" t="s">
        <v>133</v>
      </c>
      <c r="C14" s="7" t="str">
        <f>INDEX('DMA Matrix'!$H$5:$H$34,MATCH($A14,'DMA Matrix'!$A$5:$A$34,0))</f>
        <v>Impact Material</v>
      </c>
      <c r="D14" s="7" t="s">
        <v>663</v>
      </c>
      <c r="E14" s="7" t="s">
        <v>651</v>
      </c>
      <c r="F14" s="7" t="s">
        <v>664</v>
      </c>
      <c r="G14" s="7" t="s">
        <v>665</v>
      </c>
      <c r="H14" s="11" t="s">
        <v>650</v>
      </c>
      <c r="J14" s="11" t="s">
        <v>628</v>
      </c>
      <c r="K14" s="7" t="s">
        <v>666</v>
      </c>
    </row>
    <row r="15" spans="1:11" ht="28.8" customHeight="1" x14ac:dyDescent="0.3">
      <c r="A15" s="11" t="s">
        <v>137</v>
      </c>
      <c r="B15" s="7" t="s">
        <v>138</v>
      </c>
      <c r="C15" s="7" t="str">
        <f>INDEX('DMA Matrix'!$H$5:$H$34,MATCH($A15,'DMA Matrix'!$A$5:$A$34,0))</f>
        <v>Double Material</v>
      </c>
      <c r="D15" s="7" t="s">
        <v>667</v>
      </c>
      <c r="E15" s="7" t="s">
        <v>630</v>
      </c>
      <c r="F15" s="7" t="s">
        <v>668</v>
      </c>
      <c r="G15" s="7" t="s">
        <v>669</v>
      </c>
      <c r="H15" s="11" t="s">
        <v>628</v>
      </c>
      <c r="J15" s="11" t="s">
        <v>250</v>
      </c>
      <c r="K15" s="7" t="s">
        <v>670</v>
      </c>
    </row>
    <row r="16" spans="1:11" ht="28.8" customHeight="1" x14ac:dyDescent="0.3">
      <c r="A16" s="11" t="s">
        <v>142</v>
      </c>
      <c r="B16" s="7" t="s">
        <v>508</v>
      </c>
      <c r="C16" s="7" t="str">
        <f>INDEX('DMA Matrix'!$H$5:$H$34,MATCH($A16,'DMA Matrix'!$A$5:$A$34,0))</f>
        <v>Impact Material</v>
      </c>
      <c r="D16" s="7" t="s">
        <v>671</v>
      </c>
      <c r="E16" s="7" t="s">
        <v>651</v>
      </c>
      <c r="F16" s="7" t="s">
        <v>672</v>
      </c>
      <c r="G16" s="7" t="s">
        <v>673</v>
      </c>
      <c r="H16" s="11" t="s">
        <v>650</v>
      </c>
      <c r="J16" s="11" t="s">
        <v>650</v>
      </c>
      <c r="K16" s="7" t="s">
        <v>674</v>
      </c>
    </row>
    <row r="17" spans="1:11" ht="28.8" customHeight="1" x14ac:dyDescent="0.3">
      <c r="A17" s="11" t="s">
        <v>147</v>
      </c>
      <c r="B17" s="7" t="s">
        <v>148</v>
      </c>
      <c r="C17" s="7" t="str">
        <f>INDEX('DMA Matrix'!$H$5:$H$34,MATCH($A17,'DMA Matrix'!$A$5:$A$34,0))</f>
        <v>Impact Material</v>
      </c>
      <c r="D17" s="7" t="s">
        <v>675</v>
      </c>
      <c r="E17" s="7" t="s">
        <v>651</v>
      </c>
      <c r="F17" s="7" t="s">
        <v>676</v>
      </c>
      <c r="G17" s="7" t="s">
        <v>677</v>
      </c>
      <c r="H17" s="11" t="s">
        <v>650</v>
      </c>
      <c r="J17" s="11" t="s">
        <v>678</v>
      </c>
      <c r="K17" s="7" t="s">
        <v>679</v>
      </c>
    </row>
    <row r="18" spans="1:11" ht="43.2" customHeight="1" x14ac:dyDescent="0.3">
      <c r="A18" s="11" t="s">
        <v>151</v>
      </c>
      <c r="B18" s="7" t="s">
        <v>152</v>
      </c>
      <c r="C18" s="11" t="str">
        <f>INDEX('DMA Matrix'!$H$5:$H$34,MATCH($A18,'DMA Matrix'!$A$5:$A$34,0))</f>
        <v>Financially Material</v>
      </c>
      <c r="D18" s="7" t="s">
        <v>680</v>
      </c>
      <c r="E18" s="7" t="s">
        <v>246</v>
      </c>
      <c r="F18" s="7" t="s">
        <v>681</v>
      </c>
      <c r="G18" s="7" t="s">
        <v>682</v>
      </c>
      <c r="H18" s="11" t="s">
        <v>250</v>
      </c>
    </row>
    <row r="19" spans="1:11" ht="43.2" customHeight="1" x14ac:dyDescent="0.3">
      <c r="A19" s="11" t="s">
        <v>156</v>
      </c>
      <c r="B19" s="7" t="s">
        <v>519</v>
      </c>
      <c r="C19" s="7" t="str">
        <f>INDEX('DMA Matrix'!$H$5:$H$34,MATCH($A19,'DMA Matrix'!$A$5:$A$34,0))</f>
        <v>Double Material</v>
      </c>
      <c r="D19" s="7" t="s">
        <v>683</v>
      </c>
      <c r="E19" s="7" t="s">
        <v>630</v>
      </c>
      <c r="F19" s="7" t="s">
        <v>684</v>
      </c>
      <c r="G19" s="7" t="s">
        <v>685</v>
      </c>
      <c r="H19" s="11" t="s">
        <v>250</v>
      </c>
    </row>
    <row r="20" spans="1:11" ht="28.8" customHeight="1" x14ac:dyDescent="0.3">
      <c r="A20" s="11" t="s">
        <v>160</v>
      </c>
      <c r="B20" s="7" t="s">
        <v>161</v>
      </c>
      <c r="C20" s="7" t="str">
        <f>INDEX('DMA Matrix'!$H$5:$H$34,MATCH($A20,'DMA Matrix'!$A$5:$A$34,0))</f>
        <v>Double Material</v>
      </c>
      <c r="D20" s="7" t="s">
        <v>686</v>
      </c>
      <c r="E20" s="7" t="s">
        <v>630</v>
      </c>
      <c r="F20" s="7" t="s">
        <v>687</v>
      </c>
      <c r="G20" s="7" t="s">
        <v>688</v>
      </c>
      <c r="H20" s="11" t="s">
        <v>250</v>
      </c>
    </row>
    <row r="21" spans="1:11" ht="43.2" customHeight="1" x14ac:dyDescent="0.3">
      <c r="A21" s="11" t="s">
        <v>165</v>
      </c>
      <c r="B21" s="7" t="s">
        <v>166</v>
      </c>
      <c r="C21" s="7" t="str">
        <f>INDEX('DMA Matrix'!$H$5:$H$34,MATCH($A21,'DMA Matrix'!$A$5:$A$34,0))</f>
        <v>Double Material</v>
      </c>
      <c r="D21" s="7" t="s">
        <v>689</v>
      </c>
      <c r="E21" s="7" t="s">
        <v>625</v>
      </c>
      <c r="F21" s="7" t="s">
        <v>690</v>
      </c>
      <c r="G21" s="7" t="s">
        <v>691</v>
      </c>
      <c r="H21" s="11" t="s">
        <v>250</v>
      </c>
    </row>
    <row r="22" spans="1:11" ht="43.2" customHeight="1" x14ac:dyDescent="0.3">
      <c r="A22" s="11" t="s">
        <v>170</v>
      </c>
      <c r="B22" s="7" t="s">
        <v>171</v>
      </c>
      <c r="C22" s="7" t="str">
        <f>INDEX('DMA Matrix'!$H$5:$H$34,MATCH($A22,'DMA Matrix'!$A$5:$A$34,0))</f>
        <v>Double Material</v>
      </c>
      <c r="D22" s="7" t="s">
        <v>692</v>
      </c>
      <c r="E22" s="7" t="s">
        <v>625</v>
      </c>
      <c r="F22" s="7" t="s">
        <v>693</v>
      </c>
      <c r="G22" s="7" t="s">
        <v>694</v>
      </c>
      <c r="H22" s="11" t="s">
        <v>628</v>
      </c>
    </row>
    <row r="23" spans="1:11" ht="28.8" customHeight="1" x14ac:dyDescent="0.3">
      <c r="A23" s="11" t="s">
        <v>175</v>
      </c>
      <c r="B23" s="7" t="s">
        <v>533</v>
      </c>
      <c r="C23" s="7" t="str">
        <f>INDEX('DMA Matrix'!$H$5:$H$34,MATCH($A23,'DMA Matrix'!$A$5:$A$34,0))</f>
        <v>Double Material</v>
      </c>
      <c r="D23" s="7" t="s">
        <v>695</v>
      </c>
      <c r="E23" s="7" t="s">
        <v>630</v>
      </c>
      <c r="F23" s="7" t="s">
        <v>696</v>
      </c>
      <c r="G23" s="7" t="s">
        <v>697</v>
      </c>
      <c r="H23" s="11" t="s">
        <v>250</v>
      </c>
    </row>
    <row r="24" spans="1:11" ht="28.8" customHeight="1" x14ac:dyDescent="0.3">
      <c r="A24" s="11" t="s">
        <v>180</v>
      </c>
      <c r="B24" s="7" t="s">
        <v>181</v>
      </c>
      <c r="C24" s="7" t="str">
        <f>INDEX('DMA Matrix'!$H$5:$H$34,MATCH($A24,'DMA Matrix'!$A$5:$A$34,0))</f>
        <v>Double Material</v>
      </c>
      <c r="D24" s="7" t="s">
        <v>698</v>
      </c>
      <c r="E24" s="7" t="s">
        <v>630</v>
      </c>
      <c r="F24" s="7" t="s">
        <v>699</v>
      </c>
      <c r="G24" s="7" t="s">
        <v>700</v>
      </c>
      <c r="H24" s="11" t="s">
        <v>628</v>
      </c>
    </row>
    <row r="25" spans="1:11" ht="28.8" customHeight="1" x14ac:dyDescent="0.3">
      <c r="A25" s="11" t="s">
        <v>185</v>
      </c>
      <c r="B25" s="7" t="s">
        <v>346</v>
      </c>
      <c r="C25" s="7" t="str">
        <f>INDEX('DMA Matrix'!$H$5:$H$34,MATCH($A25,'DMA Matrix'!$A$5:$A$34,0))</f>
        <v>Double Material</v>
      </c>
      <c r="D25" s="7" t="s">
        <v>701</v>
      </c>
      <c r="E25" s="7" t="s">
        <v>315</v>
      </c>
      <c r="F25" s="7" t="s">
        <v>702</v>
      </c>
      <c r="G25" s="7" t="s">
        <v>703</v>
      </c>
      <c r="H25" s="11" t="s">
        <v>250</v>
      </c>
    </row>
    <row r="26" spans="1:11" ht="28.8" customHeight="1" x14ac:dyDescent="0.3">
      <c r="A26" s="11" t="s">
        <v>190</v>
      </c>
      <c r="B26" s="7" t="s">
        <v>191</v>
      </c>
      <c r="C26" s="7" t="str">
        <f>INDEX('DMA Matrix'!$H$5:$H$34,MATCH($A26,'DMA Matrix'!$A$5:$A$34,0))</f>
        <v>Double Material</v>
      </c>
      <c r="D26" s="7" t="s">
        <v>704</v>
      </c>
      <c r="E26" s="7" t="s">
        <v>315</v>
      </c>
      <c r="F26" s="7" t="s">
        <v>705</v>
      </c>
      <c r="G26" s="7" t="s">
        <v>706</v>
      </c>
      <c r="H26" s="11" t="s">
        <v>628</v>
      </c>
    </row>
    <row r="27" spans="1:11" ht="28.8" customHeight="1" x14ac:dyDescent="0.3">
      <c r="A27" s="11" t="s">
        <v>194</v>
      </c>
      <c r="B27" s="7" t="s">
        <v>195</v>
      </c>
      <c r="C27" s="7" t="str">
        <f>INDEX('DMA Matrix'!$H$5:$H$34,MATCH($A27,'DMA Matrix'!$A$5:$A$34,0))</f>
        <v>Double Material</v>
      </c>
      <c r="D27" s="7" t="s">
        <v>707</v>
      </c>
      <c r="E27" s="7" t="s">
        <v>246</v>
      </c>
      <c r="F27" s="7" t="s">
        <v>708</v>
      </c>
      <c r="G27" s="7" t="s">
        <v>709</v>
      </c>
      <c r="H27" s="11" t="s">
        <v>250</v>
      </c>
    </row>
    <row r="28" spans="1:11" ht="28.8" customHeight="1" x14ac:dyDescent="0.3">
      <c r="A28" s="11" t="s">
        <v>199</v>
      </c>
      <c r="B28" s="7" t="s">
        <v>370</v>
      </c>
      <c r="C28" s="7" t="str">
        <f>INDEX('DMA Matrix'!$H$5:$H$34,MATCH($A28,'DMA Matrix'!$A$5:$A$34,0))</f>
        <v>Double Material</v>
      </c>
      <c r="D28" s="7" t="s">
        <v>710</v>
      </c>
      <c r="E28" s="7" t="s">
        <v>246</v>
      </c>
      <c r="F28" s="7" t="s">
        <v>711</v>
      </c>
      <c r="G28" s="7" t="s">
        <v>712</v>
      </c>
      <c r="H28" s="11" t="s">
        <v>628</v>
      </c>
    </row>
    <row r="29" spans="1:11" ht="28.8" customHeight="1" x14ac:dyDescent="0.3">
      <c r="A29" s="11" t="s">
        <v>203</v>
      </c>
      <c r="B29" s="7" t="s">
        <v>375</v>
      </c>
      <c r="C29" s="7" t="str">
        <f>INDEX('DMA Matrix'!$H$5:$H$34,MATCH($A29,'DMA Matrix'!$A$5:$A$34,0))</f>
        <v>Double Material</v>
      </c>
      <c r="D29" s="7" t="s">
        <v>713</v>
      </c>
      <c r="E29" s="7" t="s">
        <v>315</v>
      </c>
      <c r="F29" s="7" t="s">
        <v>714</v>
      </c>
      <c r="G29" s="7" t="s">
        <v>715</v>
      </c>
      <c r="H29" s="11" t="s">
        <v>628</v>
      </c>
    </row>
    <row r="30" spans="1:11" ht="28.8" customHeight="1" x14ac:dyDescent="0.3">
      <c r="A30" s="11" t="s">
        <v>208</v>
      </c>
      <c r="B30" s="7" t="s">
        <v>209</v>
      </c>
      <c r="C30" s="7" t="str">
        <f>INDEX('DMA Matrix'!$H$5:$H$34,MATCH($A30,'DMA Matrix'!$A$5:$A$34,0))</f>
        <v>Double Material</v>
      </c>
      <c r="D30" s="7" t="s">
        <v>716</v>
      </c>
      <c r="E30" s="7" t="s">
        <v>315</v>
      </c>
      <c r="F30" s="7" t="s">
        <v>717</v>
      </c>
      <c r="G30" s="7" t="s">
        <v>718</v>
      </c>
      <c r="H30" s="11" t="s">
        <v>250</v>
      </c>
    </row>
    <row r="31" spans="1:11" ht="28.8" customHeight="1" x14ac:dyDescent="0.3">
      <c r="A31" s="11" t="s">
        <v>212</v>
      </c>
      <c r="B31" s="7" t="s">
        <v>213</v>
      </c>
      <c r="C31" s="7" t="str">
        <f>INDEX('DMA Matrix'!$H$5:$H$34,MATCH($A31,'DMA Matrix'!$A$5:$A$34,0))</f>
        <v>Double Material</v>
      </c>
      <c r="D31" s="7" t="s">
        <v>719</v>
      </c>
      <c r="E31" s="7" t="s">
        <v>630</v>
      </c>
      <c r="F31" s="7" t="s">
        <v>720</v>
      </c>
      <c r="G31" s="7" t="s">
        <v>721</v>
      </c>
      <c r="H31" s="11" t="s">
        <v>250</v>
      </c>
    </row>
    <row r="32" spans="1:11" ht="28.8" customHeight="1" x14ac:dyDescent="0.3">
      <c r="A32" s="11" t="s">
        <v>217</v>
      </c>
      <c r="B32" s="7" t="s">
        <v>565</v>
      </c>
      <c r="C32" s="7" t="str">
        <f>INDEX('DMA Matrix'!$H$5:$H$34,MATCH($A32,'DMA Matrix'!$A$5:$A$34,0))</f>
        <v>Impact Material</v>
      </c>
      <c r="D32" s="7" t="s">
        <v>722</v>
      </c>
      <c r="E32" s="7" t="s">
        <v>651</v>
      </c>
      <c r="F32" s="7" t="s">
        <v>723</v>
      </c>
      <c r="G32" s="7" t="s">
        <v>724</v>
      </c>
      <c r="H32" s="11" t="s">
        <v>650</v>
      </c>
    </row>
    <row r="33" spans="1:8" ht="43.2" customHeight="1" x14ac:dyDescent="0.3">
      <c r="A33" s="11" t="s">
        <v>221</v>
      </c>
      <c r="B33" s="7" t="s">
        <v>397</v>
      </c>
      <c r="C33" s="7" t="str">
        <f>INDEX('DMA Matrix'!$H$5:$H$34,MATCH($A33,'DMA Matrix'!$A$5:$A$34,0))</f>
        <v>Double Material</v>
      </c>
      <c r="D33" s="7" t="s">
        <v>725</v>
      </c>
      <c r="E33" s="7" t="s">
        <v>651</v>
      </c>
      <c r="F33" s="7" t="s">
        <v>726</v>
      </c>
      <c r="G33" s="7" t="s">
        <v>727</v>
      </c>
      <c r="H33" s="11" t="s">
        <v>628</v>
      </c>
    </row>
    <row r="34" spans="1:8" ht="43.2" customHeight="1" x14ac:dyDescent="0.3">
      <c r="A34" s="11" t="s">
        <v>226</v>
      </c>
      <c r="B34" s="7" t="s">
        <v>227</v>
      </c>
      <c r="C34" s="7" t="str">
        <f>INDEX('DMA Matrix'!$H$5:$H$34,MATCH($A34,'DMA Matrix'!$A$5:$A$34,0))</f>
        <v>Double Material</v>
      </c>
      <c r="D34" s="7" t="s">
        <v>728</v>
      </c>
      <c r="E34" s="7" t="s">
        <v>246</v>
      </c>
      <c r="F34" s="7" t="s">
        <v>729</v>
      </c>
      <c r="G34" s="7" t="s">
        <v>730</v>
      </c>
      <c r="H34" s="11" t="s">
        <v>250</v>
      </c>
    </row>
  </sheetData>
  <mergeCells count="2">
    <mergeCell ref="A2:H2"/>
    <mergeCell ref="A1:H1"/>
  </mergeCells>
  <conditionalFormatting sqref="H5:H34">
    <cfRule type="cellIs" dxfId="0" priority="1" operator="equal">
      <formula>$H$5</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55A11"/>
    <pageSetUpPr fitToPage="1"/>
  </sheetPr>
  <dimension ref="A1:V62"/>
  <sheetViews>
    <sheetView showGridLines="0" topLeftCell="A31" workbookViewId="0">
      <selection activeCell="R36" sqref="R36"/>
    </sheetView>
  </sheetViews>
  <sheetFormatPr defaultColWidth="8.6640625" defaultRowHeight="14.4" x14ac:dyDescent="0.3"/>
  <cols>
    <col min="1" max="1" width="7.44140625" bestFit="1" customWidth="1"/>
    <col min="2" max="2" width="50.21875" bestFit="1" customWidth="1"/>
    <col min="3" max="3" width="38.5546875" customWidth="1"/>
    <col min="4" max="4" width="20.5546875" bestFit="1" customWidth="1"/>
    <col min="5" max="5" width="30.33203125" bestFit="1" customWidth="1"/>
    <col min="6" max="6" width="17.21875" bestFit="1" customWidth="1"/>
    <col min="7" max="7" width="16.109375" customWidth="1"/>
    <col min="8" max="8" width="23.6640625" bestFit="1" customWidth="1"/>
    <col min="9" max="9" width="8.44140625" bestFit="1" customWidth="1"/>
    <col min="10" max="10" width="33.6640625" bestFit="1" customWidth="1"/>
    <col min="11" max="11" width="11.77734375" bestFit="1" customWidth="1"/>
    <col min="12" max="12" width="8.6640625" bestFit="1" customWidth="1"/>
    <col min="13" max="13" width="10.5546875" bestFit="1" customWidth="1"/>
    <col min="14" max="14" width="8.88671875" bestFit="1" customWidth="1"/>
    <col min="15" max="15" width="13.33203125" bestFit="1" customWidth="1"/>
    <col min="16" max="16" width="18.21875" bestFit="1" customWidth="1"/>
    <col min="17" max="17" width="17.88671875" bestFit="1" customWidth="1"/>
    <col min="18" max="18" width="6.109375" bestFit="1" customWidth="1"/>
    <col min="19" max="19" width="25.6640625" bestFit="1" customWidth="1"/>
    <col min="20" max="20" width="69.44140625" bestFit="1" customWidth="1"/>
  </cols>
  <sheetData>
    <row r="1" spans="1:22" ht="18" x14ac:dyDescent="0.35">
      <c r="A1" s="118" t="s">
        <v>871</v>
      </c>
      <c r="B1" s="118"/>
      <c r="C1" s="118"/>
      <c r="D1" s="118"/>
      <c r="E1" s="118"/>
      <c r="F1" s="118"/>
      <c r="G1" s="118"/>
      <c r="H1" s="118"/>
      <c r="I1" s="118"/>
      <c r="J1" s="65"/>
      <c r="K1" s="65"/>
      <c r="L1" s="65"/>
      <c r="M1" s="65"/>
      <c r="N1" s="65"/>
      <c r="O1" s="65"/>
      <c r="P1" s="65"/>
      <c r="Q1" s="65"/>
      <c r="R1" s="65"/>
      <c r="S1" s="65"/>
      <c r="T1" s="65"/>
      <c r="U1" s="66"/>
      <c r="V1" s="66"/>
    </row>
    <row r="2" spans="1:22" ht="18" x14ac:dyDescent="0.35">
      <c r="A2" s="119" t="s">
        <v>872</v>
      </c>
      <c r="B2" s="119"/>
      <c r="C2" s="119"/>
      <c r="D2" s="119"/>
      <c r="E2" s="119"/>
      <c r="F2" s="119"/>
      <c r="G2" s="119"/>
      <c r="H2" s="119"/>
      <c r="I2" s="119"/>
      <c r="J2" s="67"/>
      <c r="K2" s="67"/>
      <c r="L2" s="67"/>
      <c r="M2" s="67"/>
      <c r="N2" s="67"/>
      <c r="O2" s="67"/>
      <c r="P2" s="67"/>
      <c r="Q2" s="67"/>
      <c r="R2" s="67"/>
      <c r="S2" s="67"/>
      <c r="T2" s="67"/>
      <c r="U2" s="66"/>
      <c r="V2" s="66"/>
    </row>
    <row r="3" spans="1:22" x14ac:dyDescent="0.3">
      <c r="A3" s="116" t="s">
        <v>883</v>
      </c>
      <c r="B3" s="116"/>
      <c r="C3" s="116"/>
      <c r="D3" s="116"/>
      <c r="E3" s="116"/>
      <c r="F3" s="116"/>
      <c r="G3" s="116"/>
      <c r="H3" s="116"/>
      <c r="I3" s="116"/>
    </row>
    <row r="4" spans="1:22" x14ac:dyDescent="0.3">
      <c r="A4" s="116"/>
      <c r="B4" s="116"/>
      <c r="C4" s="116"/>
      <c r="D4" s="116"/>
      <c r="E4" s="116"/>
      <c r="F4" s="116"/>
      <c r="G4" s="116"/>
      <c r="H4" s="116"/>
      <c r="I4" s="116"/>
    </row>
    <row r="5" spans="1:22" x14ac:dyDescent="0.3">
      <c r="A5" s="73"/>
      <c r="B5" s="73"/>
      <c r="C5" s="73"/>
      <c r="D5" s="73"/>
      <c r="E5" s="73"/>
      <c r="F5" s="73"/>
      <c r="G5" s="73"/>
      <c r="H5" s="73"/>
      <c r="I5" s="73"/>
    </row>
    <row r="6" spans="1:22" x14ac:dyDescent="0.3">
      <c r="B6" s="74" t="s">
        <v>873</v>
      </c>
      <c r="C6" s="75">
        <f>COUNTA($A$33:$A$62)</f>
        <v>30</v>
      </c>
      <c r="E6" s="63"/>
      <c r="F6" s="64"/>
    </row>
    <row r="7" spans="1:22" x14ac:dyDescent="0.3">
      <c r="B7" s="74" t="s">
        <v>732</v>
      </c>
      <c r="C7" s="76">
        <v>27</v>
      </c>
      <c r="E7" s="58"/>
      <c r="F7" s="59"/>
    </row>
    <row r="8" spans="1:22" x14ac:dyDescent="0.3">
      <c r="B8" s="74" t="s">
        <v>733</v>
      </c>
      <c r="C8" s="76">
        <v>10</v>
      </c>
      <c r="E8" s="58"/>
      <c r="F8" s="60"/>
    </row>
    <row r="9" spans="1:22" x14ac:dyDescent="0.3">
      <c r="B9" s="74" t="s">
        <v>734</v>
      </c>
      <c r="C9" s="76">
        <v>14</v>
      </c>
      <c r="E9" s="58"/>
      <c r="F9" s="60"/>
    </row>
    <row r="10" spans="1:22" x14ac:dyDescent="0.3">
      <c r="B10" s="74" t="s">
        <v>735</v>
      </c>
      <c r="C10" s="75">
        <f>C7-C8-C9</f>
        <v>3</v>
      </c>
      <c r="E10" s="58"/>
      <c r="F10" s="61"/>
    </row>
    <row r="11" spans="1:22" x14ac:dyDescent="0.3">
      <c r="B11" s="74" t="s">
        <v>874</v>
      </c>
      <c r="C11" s="75">
        <f>ROUND(C6*C8/C7,0)</f>
        <v>11</v>
      </c>
      <c r="E11" s="58"/>
      <c r="F11" s="62"/>
    </row>
    <row r="12" spans="1:22" x14ac:dyDescent="0.3">
      <c r="B12" s="74" t="s">
        <v>875</v>
      </c>
      <c r="C12" s="75">
        <f>ROUND(C6*(C8+C9)/C7,0)</f>
        <v>27</v>
      </c>
      <c r="E12" s="58"/>
      <c r="F12" s="62"/>
    </row>
    <row r="13" spans="1:22" x14ac:dyDescent="0.3">
      <c r="B13" s="74" t="s">
        <v>736</v>
      </c>
      <c r="C13" s="77">
        <v>4</v>
      </c>
      <c r="E13" s="58"/>
      <c r="F13" s="62"/>
    </row>
    <row r="14" spans="1:22" x14ac:dyDescent="0.3">
      <c r="B14" s="74" t="s">
        <v>737</v>
      </c>
      <c r="C14" s="77">
        <v>3.5</v>
      </c>
      <c r="E14" s="58"/>
      <c r="F14" s="62"/>
    </row>
    <row r="15" spans="1:22" x14ac:dyDescent="0.3">
      <c r="B15" s="74" t="s">
        <v>738</v>
      </c>
      <c r="C15" s="78">
        <v>0.8</v>
      </c>
      <c r="E15" s="58"/>
      <c r="F15" s="62"/>
    </row>
    <row r="16" spans="1:22" x14ac:dyDescent="0.3">
      <c r="B16" s="74" t="s">
        <v>739</v>
      </c>
      <c r="C16" s="78">
        <v>0.7</v>
      </c>
      <c r="E16" s="68"/>
      <c r="F16" s="69"/>
    </row>
    <row r="17" spans="1:20" x14ac:dyDescent="0.3">
      <c r="B17" s="74" t="s">
        <v>740</v>
      </c>
      <c r="C17" s="78">
        <v>0.65</v>
      </c>
      <c r="E17" s="68"/>
      <c r="F17" s="70"/>
    </row>
    <row r="18" spans="1:20" x14ac:dyDescent="0.3">
      <c r="B18" s="74" t="s">
        <v>741</v>
      </c>
      <c r="C18" s="78">
        <v>0.5</v>
      </c>
      <c r="E18" s="68"/>
      <c r="F18" s="70"/>
    </row>
    <row r="19" spans="1:20" x14ac:dyDescent="0.3">
      <c r="E19" s="68"/>
      <c r="F19" s="70"/>
    </row>
    <row r="20" spans="1:20" x14ac:dyDescent="0.3">
      <c r="B20" s="117" t="s">
        <v>742</v>
      </c>
      <c r="C20" s="117"/>
      <c r="E20" s="68"/>
      <c r="F20" s="69"/>
    </row>
    <row r="21" spans="1:20" x14ac:dyDescent="0.3">
      <c r="B21" s="79" t="s">
        <v>743</v>
      </c>
      <c r="C21" s="80">
        <f>SUMIFS($P$33:$P$62,$N$33:$N$62,"Y")/(3*COUNTIF($N$33:$N$62,"Y"))</f>
        <v>0.84615384615384615</v>
      </c>
      <c r="E21" s="68"/>
      <c r="F21" s="69"/>
    </row>
    <row r="22" spans="1:20" ht="27.6" x14ac:dyDescent="0.3">
      <c r="B22" s="79" t="s">
        <v>744</v>
      </c>
      <c r="C22" s="81">
        <f>COUNTIFS($N$33:$N$62,"Y",$G$33:$G$62,"Very High",$K$33:$K$62,"Very High")/C8</f>
        <v>0.6</v>
      </c>
      <c r="E22" s="68"/>
      <c r="F22" s="69"/>
    </row>
    <row r="23" spans="1:20" ht="27.6" x14ac:dyDescent="0.3">
      <c r="B23" s="79" t="s">
        <v>745</v>
      </c>
      <c r="C23" s="81">
        <f>COUNTIFS($N$33:$N$62,"Y",$G$33:$G$62,"Very High",$K$33:$K$62,"Very High")/COUNTIFS($N$33:$N$62,"Y",$G$33:$G$62,"Very High")</f>
        <v>0.6</v>
      </c>
      <c r="E23" s="68"/>
      <c r="F23" s="71"/>
    </row>
    <row r="24" spans="1:20" x14ac:dyDescent="0.3">
      <c r="B24" s="79" t="s">
        <v>746</v>
      </c>
      <c r="C24" s="92" t="str">
        <f>IF(AND(C21&gt;=C15,C22&gt;=C16),"A: Strong",IF(AND(C21&gt;=C17,C22&gt;=C18),"B: Moderate","C: Weak"))</f>
        <v>B: Moderate</v>
      </c>
      <c r="E24" s="68"/>
      <c r="F24" s="71"/>
    </row>
    <row r="25" spans="1:20" x14ac:dyDescent="0.3">
      <c r="B25" s="79" t="s">
        <v>747</v>
      </c>
      <c r="C25" s="82">
        <f>COUNTIFS($Q$33:$Q$62,"Aligned",$N$33:$N$62,"Y")</f>
        <v>14</v>
      </c>
      <c r="E25" s="68"/>
      <c r="F25" s="72"/>
    </row>
    <row r="26" spans="1:20" x14ac:dyDescent="0.3">
      <c r="B26" s="79" t="s">
        <v>748</v>
      </c>
      <c r="C26" s="82">
        <f>COUNTIFS($Q$33:$Q$62,"You rate higher",$N$33:$N$62,"Y")</f>
        <v>7</v>
      </c>
      <c r="E26" s="68"/>
      <c r="F26" s="72"/>
    </row>
    <row r="27" spans="1:20" x14ac:dyDescent="0.3">
      <c r="B27" s="79" t="s">
        <v>749</v>
      </c>
      <c r="C27" s="82">
        <f>COUNTIFS($Q$33:$Q$62,"Official rates higher",$N$33:$N$62,"Y")</f>
        <v>5</v>
      </c>
      <c r="E27" s="68"/>
      <c r="F27" s="72"/>
    </row>
    <row r="28" spans="1:20" ht="27.6" x14ac:dyDescent="0.3">
      <c r="B28" s="79" t="s">
        <v>750</v>
      </c>
      <c r="C28" s="82">
        <f>COUNTIF($Q$33:$Q$62,"No official equivalent")+COUNTIF($Q$33:$Q$62,"Missing from your universe")</f>
        <v>2</v>
      </c>
      <c r="E28" s="68"/>
      <c r="F28" s="72"/>
    </row>
    <row r="29" spans="1:20" x14ac:dyDescent="0.3">
      <c r="B29" s="79" t="s">
        <v>751</v>
      </c>
      <c r="C29" s="82">
        <f>COUNTIF($R$33:$R$62,"Edge")</f>
        <v>3</v>
      </c>
    </row>
    <row r="30" spans="1:20" ht="27.6" x14ac:dyDescent="0.3">
      <c r="B30" s="79" t="s">
        <v>752</v>
      </c>
      <c r="C30" s="79" t="str">
        <f>IF(C24="A: Strong","Broadly consistent with the official view",IF(C24="B: Moderate","Consistent overall, but your top tier misses part of the official Very High set","Materially different from the official view"))</f>
        <v>Consistent overall, but your top tier misses part of the official Very High set</v>
      </c>
    </row>
    <row r="32" spans="1:20" ht="41.4" x14ac:dyDescent="0.3">
      <c r="A32" s="110" t="s">
        <v>753</v>
      </c>
      <c r="B32" s="110" t="s">
        <v>881</v>
      </c>
      <c r="C32" s="110" t="s">
        <v>876</v>
      </c>
      <c r="D32" s="110" t="s">
        <v>877</v>
      </c>
      <c r="E32" s="110" t="s">
        <v>754</v>
      </c>
      <c r="F32" s="110" t="s">
        <v>755</v>
      </c>
      <c r="G32" s="110" t="s">
        <v>878</v>
      </c>
      <c r="H32" s="110" t="s">
        <v>879</v>
      </c>
      <c r="I32" s="110" t="s">
        <v>756</v>
      </c>
      <c r="J32" s="110" t="s">
        <v>757</v>
      </c>
      <c r="K32" s="110" t="s">
        <v>40</v>
      </c>
      <c r="L32" s="110" t="s">
        <v>758</v>
      </c>
      <c r="M32" s="110" t="s">
        <v>759</v>
      </c>
      <c r="N32" s="110" t="s">
        <v>760</v>
      </c>
      <c r="O32" s="110" t="s">
        <v>880</v>
      </c>
      <c r="P32" s="110" t="s">
        <v>761</v>
      </c>
      <c r="Q32" s="110" t="s">
        <v>35</v>
      </c>
      <c r="R32" s="110" t="s">
        <v>762</v>
      </c>
      <c r="S32" s="110" t="s">
        <v>731</v>
      </c>
      <c r="T32" s="110" t="s">
        <v>763</v>
      </c>
    </row>
    <row r="33" spans="1:20" x14ac:dyDescent="0.3">
      <c r="A33" s="97" t="s">
        <v>89</v>
      </c>
      <c r="B33" s="111" t="str">
        <f>INDEX('DMA Matrix'!$C$5:$C$34,MATCH($A33,'DMA Matrix'!$A$5:$A$34,0))</f>
        <v>Climate Change</v>
      </c>
      <c r="C33" s="112">
        <f>INDEX('DMA Matrix'!$D$5:$D$34,MATCH($A33,'DMA Matrix'!$A$5:$A$34,0))</f>
        <v>5</v>
      </c>
      <c r="D33" s="112">
        <f>INDEX('DMA Matrix'!$F$5:$F$34,MATCH($A33,'DMA Matrix'!$A$5:$A$34,0))</f>
        <v>5</v>
      </c>
      <c r="E33" s="113">
        <f>C33*D33</f>
        <v>25</v>
      </c>
      <c r="F33" s="114">
        <f>RANK(E33,$E$33:$E$62,0)</f>
        <v>1</v>
      </c>
      <c r="G33" s="97" t="str">
        <f t="shared" ref="G33:G62" si="0">IF(F33&lt;=$C$11,"Very High",IF(F33&lt;=$C$12,"High","Medium"))</f>
        <v>Very High</v>
      </c>
      <c r="H33" s="97" t="str">
        <f t="shared" ref="H33:H62" si="1">IF(AND(C33&gt;=$C$13,D33&gt;=$C$13),"Tier 1",IF(AND(C33&gt;=$C$14,D33&gt;=$C$14),"Tier 2","Tier 3"))</f>
        <v>Tier 1</v>
      </c>
      <c r="I33" s="115">
        <v>1</v>
      </c>
      <c r="J33" s="115" t="s">
        <v>764</v>
      </c>
      <c r="K33" s="115" t="s">
        <v>420</v>
      </c>
      <c r="L33" s="115" t="s">
        <v>250</v>
      </c>
      <c r="M33" s="115" t="s">
        <v>885</v>
      </c>
      <c r="N33" s="115" t="s">
        <v>766</v>
      </c>
      <c r="O33" s="100">
        <f t="shared" ref="O33:O62" si="2">IF(K33="n/a","",IF(G33="Very High",3,IF(G33="High",2,1))-IF(K33="Very High",3,IF(K33="High",2,1)))</f>
        <v>0</v>
      </c>
      <c r="P33" s="114">
        <f>IF(OR(N33="N",O33=""),"",3-ABS(O33))</f>
        <v>3</v>
      </c>
      <c r="Q33" s="97" t="str">
        <f t="shared" ref="Q33:Q62" si="3">IF(B33="","Missing from your universe",IF(K33="n/a","No official equivalent",IF(O33=0,"Aligned",IF(O33&gt;0,"You rate higher","Official rates higher"))))</f>
        <v>Aligned</v>
      </c>
      <c r="R33" s="97" t="str">
        <f t="shared" ref="R33:R62" si="4">IF(OR(ABS(F33-$C$11)&lt;=1,ABS(F33-$C$12)&lt;=1),"Edge","")</f>
        <v/>
      </c>
      <c r="S33" s="97" t="str">
        <f t="shared" ref="S33:S62" si="5">IF(Q33="Aligned","Keep",IF(Q33="You rate higher","Justify or lower",IF(Q33="Official rates higher","Re-check scoring / raise",IF(Q33="No official equivalent","Keep as sector add-on; justify","Add or map to existing topic"))))</f>
        <v>Keep</v>
      </c>
      <c r="T33" s="97" t="s">
        <v>767</v>
      </c>
    </row>
    <row r="34" spans="1:20" x14ac:dyDescent="0.3">
      <c r="A34" s="97" t="s">
        <v>94</v>
      </c>
      <c r="B34" s="111" t="str">
        <f>INDEX('DMA Matrix'!$C$5:$C$34,MATCH($A34,'DMA Matrix'!$A$5:$A$34,0))</f>
        <v>GHG Emissions</v>
      </c>
      <c r="C34" s="112">
        <f>INDEX('DMA Matrix'!$D$5:$D$34,MATCH($A34,'DMA Matrix'!$A$5:$A$34,0))</f>
        <v>5</v>
      </c>
      <c r="D34" s="112">
        <f>INDEX('DMA Matrix'!$F$5:$F$34,MATCH($A34,'DMA Matrix'!$A$5:$A$34,0))</f>
        <v>5</v>
      </c>
      <c r="E34" s="113">
        <f t="shared" ref="E34:E62" si="6">C34*D34</f>
        <v>25</v>
      </c>
      <c r="F34" s="114">
        <f t="shared" ref="F34:F62" si="7">RANK(E34,$E$33:$E$62,0)</f>
        <v>1</v>
      </c>
      <c r="G34" s="97" t="str">
        <f t="shared" si="0"/>
        <v>Very High</v>
      </c>
      <c r="H34" s="97" t="str">
        <f t="shared" si="1"/>
        <v>Tier 1</v>
      </c>
      <c r="I34" s="115">
        <v>2</v>
      </c>
      <c r="J34" s="115" t="s">
        <v>768</v>
      </c>
      <c r="K34" s="115" t="s">
        <v>420</v>
      </c>
      <c r="L34" s="115" t="s">
        <v>250</v>
      </c>
      <c r="M34" s="115" t="s">
        <v>769</v>
      </c>
      <c r="N34" s="115" t="s">
        <v>766</v>
      </c>
      <c r="O34" s="100">
        <f t="shared" si="2"/>
        <v>0</v>
      </c>
      <c r="P34" s="114">
        <f t="shared" ref="P33:P62" si="8">IF(OR(N34="N",O34=""),"",3-ABS(O34))</f>
        <v>3</v>
      </c>
      <c r="Q34" s="97" t="str">
        <f t="shared" si="3"/>
        <v>Aligned</v>
      </c>
      <c r="R34" s="97" t="str">
        <f t="shared" si="4"/>
        <v/>
      </c>
      <c r="S34" s="97" t="str">
        <f t="shared" si="5"/>
        <v>Keep</v>
      </c>
      <c r="T34" s="97" t="s">
        <v>770</v>
      </c>
    </row>
    <row r="35" spans="1:20" ht="27.6" x14ac:dyDescent="0.3">
      <c r="A35" s="97" t="s">
        <v>99</v>
      </c>
      <c r="B35" s="111" t="str">
        <f>INDEX('DMA Matrix'!$C$5:$C$34,MATCH($A35,'DMA Matrix'!$A$5:$A$34,0))</f>
        <v>Energy Management</v>
      </c>
      <c r="C35" s="112">
        <f>INDEX('DMA Matrix'!$D$5:$D$34,MATCH($A35,'DMA Matrix'!$A$5:$A$34,0))</f>
        <v>3.3333333333333335</v>
      </c>
      <c r="D35" s="112">
        <f>INDEX('DMA Matrix'!$F$5:$F$34,MATCH($A35,'DMA Matrix'!$A$5:$A$34,0))</f>
        <v>4</v>
      </c>
      <c r="E35" s="113">
        <f t="shared" si="6"/>
        <v>13.333333333333334</v>
      </c>
      <c r="F35" s="114">
        <f t="shared" si="7"/>
        <v>16</v>
      </c>
      <c r="G35" s="97" t="str">
        <f t="shared" si="0"/>
        <v>High</v>
      </c>
      <c r="H35" s="97" t="str">
        <f t="shared" si="1"/>
        <v>Tier 3</v>
      </c>
      <c r="I35" s="115">
        <v>3</v>
      </c>
      <c r="J35" s="115" t="s">
        <v>771</v>
      </c>
      <c r="K35" s="115" t="s">
        <v>420</v>
      </c>
      <c r="L35" s="115" t="s">
        <v>250</v>
      </c>
      <c r="M35" s="115" t="s">
        <v>765</v>
      </c>
      <c r="N35" s="115" t="s">
        <v>766</v>
      </c>
      <c r="O35" s="100">
        <f t="shared" si="2"/>
        <v>-1</v>
      </c>
      <c r="P35" s="114">
        <f t="shared" si="8"/>
        <v>2</v>
      </c>
      <c r="Q35" s="97" t="str">
        <f t="shared" si="3"/>
        <v>Official rates higher</v>
      </c>
      <c r="R35" s="97" t="str">
        <f t="shared" si="4"/>
        <v/>
      </c>
      <c r="S35" s="97" t="str">
        <f t="shared" si="5"/>
        <v>Re-check scoring / raise</v>
      </c>
      <c r="T35" s="97" t="str">
        <f>IF(Q35="Official rates higher","Official Very High. Your impact score ("&amp;TEXT(C35,"0.00")&amp;") held it down: re-check the impact rationale (auxiliary power, distribution losses).","Aligned with the official band on your current scores (impact "&amp;TEXT(C35,"0.00")&amp;").")</f>
        <v>Official Very High. Your impact score (3.33) held it down: re-check the impact rationale (auxiliary power, distribution losses).</v>
      </c>
    </row>
    <row r="36" spans="1:20" x14ac:dyDescent="0.3">
      <c r="A36" s="97" t="s">
        <v>104</v>
      </c>
      <c r="B36" s="111" t="str">
        <f>INDEX('DMA Matrix'!$C$5:$C$34,MATCH($A36,'DMA Matrix'!$A$5:$A$34,0))</f>
        <v>Air Pollution</v>
      </c>
      <c r="C36" s="112">
        <f>INDEX('DMA Matrix'!$D$5:$D$34,MATCH($A36,'DMA Matrix'!$A$5:$A$34,0))</f>
        <v>4.1166666666666663</v>
      </c>
      <c r="D36" s="112">
        <f>INDEX('DMA Matrix'!$F$5:$F$34,MATCH($A36,'DMA Matrix'!$A$5:$A$34,0))</f>
        <v>3.8</v>
      </c>
      <c r="E36" s="113">
        <f t="shared" si="6"/>
        <v>15.643333333333331</v>
      </c>
      <c r="F36" s="114">
        <f t="shared" si="7"/>
        <v>10</v>
      </c>
      <c r="G36" s="97" t="str">
        <f t="shared" si="0"/>
        <v>Very High</v>
      </c>
      <c r="H36" s="97" t="str">
        <f t="shared" si="1"/>
        <v>Tier 2</v>
      </c>
      <c r="I36" s="115">
        <v>2</v>
      </c>
      <c r="J36" s="115" t="s">
        <v>768</v>
      </c>
      <c r="K36" s="115" t="s">
        <v>420</v>
      </c>
      <c r="L36" s="115" t="s">
        <v>250</v>
      </c>
      <c r="M36" s="115" t="s">
        <v>769</v>
      </c>
      <c r="N36" s="115" t="s">
        <v>772</v>
      </c>
      <c r="O36" s="100">
        <f t="shared" si="2"/>
        <v>0</v>
      </c>
      <c r="P36" s="114" t="str">
        <f t="shared" si="8"/>
        <v/>
      </c>
      <c r="Q36" s="97" t="str">
        <f t="shared" si="3"/>
        <v>Aligned</v>
      </c>
      <c r="R36" s="97" t="str">
        <f t="shared" si="4"/>
        <v>Edge</v>
      </c>
      <c r="S36" s="97" t="str">
        <f t="shared" si="5"/>
        <v>Keep</v>
      </c>
      <c r="T36" s="97" t="s">
        <v>773</v>
      </c>
    </row>
    <row r="37" spans="1:20" ht="27.6" x14ac:dyDescent="0.3">
      <c r="A37" s="97" t="s">
        <v>109</v>
      </c>
      <c r="B37" s="111" t="str">
        <f>INDEX('DMA Matrix'!$C$5:$C$34,MATCH($A37,'DMA Matrix'!$A$5:$A$34,0))</f>
        <v>Water &amp; Effluent</v>
      </c>
      <c r="C37" s="112">
        <f>INDEX('DMA Matrix'!$D$5:$D$34,MATCH($A37,'DMA Matrix'!$A$5:$A$34,0))</f>
        <v>3.8</v>
      </c>
      <c r="D37" s="112">
        <f>INDEX('DMA Matrix'!$F$5:$F$34,MATCH($A37,'DMA Matrix'!$A$5:$A$34,0))</f>
        <v>3.8</v>
      </c>
      <c r="E37" s="113">
        <f t="shared" si="6"/>
        <v>14.44</v>
      </c>
      <c r="F37" s="114">
        <f t="shared" si="7"/>
        <v>13</v>
      </c>
      <c r="G37" s="97" t="str">
        <f t="shared" si="0"/>
        <v>High</v>
      </c>
      <c r="H37" s="97" t="str">
        <f t="shared" si="1"/>
        <v>Tier 2</v>
      </c>
      <c r="I37" s="115">
        <v>7</v>
      </c>
      <c r="J37" s="115" t="s">
        <v>774</v>
      </c>
      <c r="K37" s="115" t="s">
        <v>420</v>
      </c>
      <c r="L37" s="115" t="s">
        <v>250</v>
      </c>
      <c r="M37" s="115" t="s">
        <v>765</v>
      </c>
      <c r="N37" s="115" t="s">
        <v>766</v>
      </c>
      <c r="O37" s="100">
        <f t="shared" si="2"/>
        <v>-1</v>
      </c>
      <c r="P37" s="114">
        <f t="shared" si="8"/>
        <v>2</v>
      </c>
      <c r="Q37" s="97" t="str">
        <f t="shared" si="3"/>
        <v>Official rates higher</v>
      </c>
      <c r="R37" s="97" t="str">
        <f t="shared" si="4"/>
        <v/>
      </c>
      <c r="S37" s="97" t="str">
        <f t="shared" si="5"/>
        <v>Re-check scoring / raise</v>
      </c>
      <c r="T37" s="97" t="s">
        <v>775</v>
      </c>
    </row>
    <row r="38" spans="1:20" x14ac:dyDescent="0.3">
      <c r="A38" s="97" t="s">
        <v>114</v>
      </c>
      <c r="B38" s="111" t="str">
        <f>INDEX('DMA Matrix'!$C$5:$C$34,MATCH($A38,'DMA Matrix'!$A$5:$A$34,0))</f>
        <v>Biodiversity</v>
      </c>
      <c r="C38" s="112">
        <f>INDEX('DMA Matrix'!$D$5:$D$34,MATCH($A38,'DMA Matrix'!$A$5:$A$34,0))</f>
        <v>3.6833333333333331</v>
      </c>
      <c r="D38" s="112">
        <f>INDEX('DMA Matrix'!$F$5:$F$34,MATCH($A38,'DMA Matrix'!$A$5:$A$34,0))</f>
        <v>2.5499999999999998</v>
      </c>
      <c r="E38" s="113">
        <f t="shared" si="6"/>
        <v>9.3924999999999983</v>
      </c>
      <c r="F38" s="114">
        <f t="shared" si="7"/>
        <v>24</v>
      </c>
      <c r="G38" s="97" t="str">
        <f t="shared" si="0"/>
        <v>High</v>
      </c>
      <c r="H38" s="97" t="str">
        <f t="shared" si="1"/>
        <v>Tier 3</v>
      </c>
      <c r="I38" s="115">
        <v>5</v>
      </c>
      <c r="J38" s="115" t="s">
        <v>776</v>
      </c>
      <c r="K38" s="115" t="s">
        <v>250</v>
      </c>
      <c r="L38" s="115" t="s">
        <v>250</v>
      </c>
      <c r="M38" s="115" t="s">
        <v>765</v>
      </c>
      <c r="N38" s="115" t="s">
        <v>766</v>
      </c>
      <c r="O38" s="100">
        <f t="shared" si="2"/>
        <v>0</v>
      </c>
      <c r="P38" s="114">
        <f t="shared" si="8"/>
        <v>3</v>
      </c>
      <c r="Q38" s="97" t="str">
        <f t="shared" si="3"/>
        <v>Aligned</v>
      </c>
      <c r="R38" s="97" t="str">
        <f t="shared" si="4"/>
        <v/>
      </c>
      <c r="S38" s="97" t="str">
        <f t="shared" si="5"/>
        <v>Keep</v>
      </c>
      <c r="T38" s="97" t="s">
        <v>777</v>
      </c>
    </row>
    <row r="39" spans="1:20" x14ac:dyDescent="0.3">
      <c r="A39" s="97" t="s">
        <v>119</v>
      </c>
      <c r="B39" s="111" t="str">
        <f>INDEX('DMA Matrix'!$C$5:$C$34,MATCH($A39,'DMA Matrix'!$A$5:$A$34,0))</f>
        <v>Waste Management</v>
      </c>
      <c r="C39" s="112">
        <f>INDEX('DMA Matrix'!$D$5:$D$34,MATCH($A39,'DMA Matrix'!$A$5:$A$34,0))</f>
        <v>3.1666666666666665</v>
      </c>
      <c r="D39" s="112">
        <f>INDEX('DMA Matrix'!$F$5:$F$34,MATCH($A39,'DMA Matrix'!$A$5:$A$34,0))</f>
        <v>2.8499999999999996</v>
      </c>
      <c r="E39" s="113">
        <f t="shared" si="6"/>
        <v>9.0249999999999986</v>
      </c>
      <c r="F39" s="114">
        <f t="shared" si="7"/>
        <v>25</v>
      </c>
      <c r="G39" s="97" t="str">
        <f t="shared" si="0"/>
        <v>High</v>
      </c>
      <c r="H39" s="97" t="str">
        <f t="shared" si="1"/>
        <v>Tier 3</v>
      </c>
      <c r="I39" s="115">
        <v>6</v>
      </c>
      <c r="J39" s="115" t="s">
        <v>778</v>
      </c>
      <c r="K39" s="115" t="s">
        <v>250</v>
      </c>
      <c r="L39" s="115" t="s">
        <v>250</v>
      </c>
      <c r="M39" s="115" t="s">
        <v>779</v>
      </c>
      <c r="N39" s="115" t="s">
        <v>766</v>
      </c>
      <c r="O39" s="100">
        <f t="shared" si="2"/>
        <v>0</v>
      </c>
      <c r="P39" s="114">
        <f t="shared" si="8"/>
        <v>3</v>
      </c>
      <c r="Q39" s="97" t="str">
        <f t="shared" si="3"/>
        <v>Aligned</v>
      </c>
      <c r="R39" s="97" t="str">
        <f t="shared" si="4"/>
        <v/>
      </c>
      <c r="S39" s="97" t="str">
        <f t="shared" si="5"/>
        <v>Keep</v>
      </c>
      <c r="T39" s="97" t="s">
        <v>780</v>
      </c>
    </row>
    <row r="40" spans="1:20" x14ac:dyDescent="0.3">
      <c r="A40" s="97" t="s">
        <v>124</v>
      </c>
      <c r="B40" s="111" t="str">
        <f>INDEX('DMA Matrix'!$C$5:$C$34,MATCH($A40,'DMA Matrix'!$A$5:$A$34,0))</f>
        <v>Ash Management</v>
      </c>
      <c r="C40" s="112">
        <f>INDEX('DMA Matrix'!$D$5:$D$34,MATCH($A40,'DMA Matrix'!$A$5:$A$34,0))</f>
        <v>3.4833333333333329</v>
      </c>
      <c r="D40" s="112">
        <f>INDEX('DMA Matrix'!$F$5:$F$34,MATCH($A40,'DMA Matrix'!$A$5:$A$34,0))</f>
        <v>3.8</v>
      </c>
      <c r="E40" s="113">
        <f t="shared" si="6"/>
        <v>13.236666666666665</v>
      </c>
      <c r="F40" s="114">
        <f t="shared" si="7"/>
        <v>17</v>
      </c>
      <c r="G40" s="97" t="str">
        <f t="shared" si="0"/>
        <v>High</v>
      </c>
      <c r="H40" s="97" t="str">
        <f t="shared" si="1"/>
        <v>Tier 3</v>
      </c>
      <c r="I40" s="115" t="s">
        <v>781</v>
      </c>
      <c r="J40" s="115" t="s">
        <v>782</v>
      </c>
      <c r="K40" s="115" t="s">
        <v>781</v>
      </c>
      <c r="L40" s="115" t="s">
        <v>781</v>
      </c>
      <c r="M40" s="115" t="s">
        <v>783</v>
      </c>
      <c r="N40" s="115" t="s">
        <v>772</v>
      </c>
      <c r="O40" s="100" t="str">
        <f t="shared" si="2"/>
        <v/>
      </c>
      <c r="P40" s="114" t="str">
        <f t="shared" si="8"/>
        <v/>
      </c>
      <c r="Q40" s="97" t="str">
        <f t="shared" si="3"/>
        <v>No official equivalent</v>
      </c>
      <c r="R40" s="97" t="str">
        <f t="shared" si="4"/>
        <v/>
      </c>
      <c r="S40" s="97" t="str">
        <f t="shared" si="5"/>
        <v>Keep as sector add-on; justify</v>
      </c>
      <c r="T40" s="97" t="s">
        <v>784</v>
      </c>
    </row>
    <row r="41" spans="1:20" x14ac:dyDescent="0.3">
      <c r="A41" s="97" t="s">
        <v>128</v>
      </c>
      <c r="B41" s="111" t="str">
        <f>INDEX('DMA Matrix'!$C$5:$C$34,MATCH($A41,'DMA Matrix'!$A$5:$A$34,0))</f>
        <v>Land Use</v>
      </c>
      <c r="C41" s="112">
        <f>INDEX('DMA Matrix'!$D$5:$D$34,MATCH($A41,'DMA Matrix'!$A$5:$A$34,0))</f>
        <v>3.1166666666666663</v>
      </c>
      <c r="D41" s="112">
        <f>INDEX('DMA Matrix'!$F$5:$F$34,MATCH($A41,'DMA Matrix'!$A$5:$A$34,0))</f>
        <v>2.5499999999999998</v>
      </c>
      <c r="E41" s="113">
        <f t="shared" si="6"/>
        <v>7.947499999999998</v>
      </c>
      <c r="F41" s="114">
        <f t="shared" si="7"/>
        <v>29</v>
      </c>
      <c r="G41" s="97" t="str">
        <f t="shared" si="0"/>
        <v>Medium</v>
      </c>
      <c r="H41" s="97" t="str">
        <f t="shared" si="1"/>
        <v>Tier 3</v>
      </c>
      <c r="I41" s="115" t="s">
        <v>781</v>
      </c>
      <c r="J41" s="115" t="s">
        <v>782</v>
      </c>
      <c r="K41" s="115" t="s">
        <v>781</v>
      </c>
      <c r="L41" s="115" t="s">
        <v>781</v>
      </c>
      <c r="M41" s="115" t="s">
        <v>783</v>
      </c>
      <c r="N41" s="115" t="s">
        <v>772</v>
      </c>
      <c r="O41" s="100" t="str">
        <f t="shared" si="2"/>
        <v/>
      </c>
      <c r="P41" s="114" t="str">
        <f t="shared" si="8"/>
        <v/>
      </c>
      <c r="Q41" s="97" t="str">
        <f t="shared" si="3"/>
        <v>No official equivalent</v>
      </c>
      <c r="R41" s="97" t="str">
        <f t="shared" si="4"/>
        <v/>
      </c>
      <c r="S41" s="97" t="str">
        <f t="shared" si="5"/>
        <v>Keep as sector add-on; justify</v>
      </c>
      <c r="T41" s="97" t="s">
        <v>785</v>
      </c>
    </row>
    <row r="42" spans="1:20" ht="27.6" x14ac:dyDescent="0.3">
      <c r="A42" s="97" t="s">
        <v>132</v>
      </c>
      <c r="B42" s="111" t="str">
        <f>INDEX('DMA Matrix'!$C$5:$C$34,MATCH($A42,'DMA Matrix'!$A$5:$A$34,0))</f>
        <v>Resource Use &amp; Circular Economy</v>
      </c>
      <c r="C42" s="112">
        <f>INDEX('DMA Matrix'!$D$5:$D$34,MATCH($A42,'DMA Matrix'!$A$5:$A$34,0))</f>
        <v>3.1666666666666665</v>
      </c>
      <c r="D42" s="112">
        <f>INDEX('DMA Matrix'!$F$5:$F$34,MATCH($A42,'DMA Matrix'!$A$5:$A$34,0))</f>
        <v>2.8499999999999996</v>
      </c>
      <c r="E42" s="113">
        <f t="shared" si="6"/>
        <v>9.0249999999999986</v>
      </c>
      <c r="F42" s="114">
        <f t="shared" si="7"/>
        <v>25</v>
      </c>
      <c r="G42" s="97" t="str">
        <f t="shared" si="0"/>
        <v>High</v>
      </c>
      <c r="H42" s="97" t="str">
        <f t="shared" si="1"/>
        <v>Tier 3</v>
      </c>
      <c r="I42" s="115">
        <v>8</v>
      </c>
      <c r="J42" s="115" t="s">
        <v>786</v>
      </c>
      <c r="K42" s="115" t="s">
        <v>650</v>
      </c>
      <c r="L42" s="115" t="s">
        <v>250</v>
      </c>
      <c r="M42" s="115" t="s">
        <v>779</v>
      </c>
      <c r="N42" s="115" t="s">
        <v>766</v>
      </c>
      <c r="O42" s="100">
        <f t="shared" si="2"/>
        <v>1</v>
      </c>
      <c r="P42" s="114">
        <f t="shared" si="8"/>
        <v>2</v>
      </c>
      <c r="Q42" s="97" t="str">
        <f t="shared" si="3"/>
        <v>You rate higher</v>
      </c>
      <c r="R42" s="97" t="str">
        <f t="shared" si="4"/>
        <v/>
      </c>
      <c r="S42" s="97" t="str">
        <f t="shared" si="5"/>
        <v>Justify or lower</v>
      </c>
      <c r="T42" s="97" t="s">
        <v>787</v>
      </c>
    </row>
    <row r="43" spans="1:20" x14ac:dyDescent="0.3">
      <c r="A43" s="97" t="s">
        <v>137</v>
      </c>
      <c r="B43" s="111" t="str">
        <f>INDEX('DMA Matrix'!$C$5:$C$34,MATCH($A43,'DMA Matrix'!$A$5:$A$34,0))</f>
        <v>Occupational Health &amp; Safety</v>
      </c>
      <c r="C43" s="112">
        <f>INDEX('DMA Matrix'!$D$5:$D$34,MATCH($A43,'DMA Matrix'!$A$5:$A$34,0))</f>
        <v>4.4333333333333336</v>
      </c>
      <c r="D43" s="112">
        <f>INDEX('DMA Matrix'!$F$5:$F$34,MATCH($A43,'DMA Matrix'!$A$5:$A$34,0))</f>
        <v>4.75</v>
      </c>
      <c r="E43" s="113">
        <f t="shared" si="6"/>
        <v>21.058333333333334</v>
      </c>
      <c r="F43" s="114">
        <f t="shared" si="7"/>
        <v>5</v>
      </c>
      <c r="G43" s="97" t="str">
        <f t="shared" si="0"/>
        <v>Very High</v>
      </c>
      <c r="H43" s="97" t="str">
        <f t="shared" si="1"/>
        <v>Tier 1</v>
      </c>
      <c r="I43" s="115">
        <v>13</v>
      </c>
      <c r="J43" s="115" t="s">
        <v>788</v>
      </c>
      <c r="K43" s="115" t="s">
        <v>420</v>
      </c>
      <c r="L43" s="115" t="s">
        <v>250</v>
      </c>
      <c r="M43" s="115" t="s">
        <v>765</v>
      </c>
      <c r="N43" s="115" t="s">
        <v>766</v>
      </c>
      <c r="O43" s="100">
        <f t="shared" si="2"/>
        <v>0</v>
      </c>
      <c r="P43" s="114">
        <f t="shared" si="8"/>
        <v>3</v>
      </c>
      <c r="Q43" s="97" t="str">
        <f t="shared" si="3"/>
        <v>Aligned</v>
      </c>
      <c r="R43" s="97" t="str">
        <f t="shared" si="4"/>
        <v/>
      </c>
      <c r="S43" s="97" t="str">
        <f t="shared" si="5"/>
        <v>Keep</v>
      </c>
      <c r="T43" s="97" t="s">
        <v>789</v>
      </c>
    </row>
    <row r="44" spans="1:20" x14ac:dyDescent="0.3">
      <c r="A44" s="97" t="s">
        <v>142</v>
      </c>
      <c r="B44" s="111" t="str">
        <f>INDEX('DMA Matrix'!$C$5:$C$34,MATCH($A44,'DMA Matrix'!$A$5:$A$34,0))</f>
        <v>Employee Health, Wellbeing &amp; Engagement</v>
      </c>
      <c r="C44" s="112">
        <f>INDEX('DMA Matrix'!$D$5:$D$34,MATCH($A44,'DMA Matrix'!$A$5:$A$34,0))</f>
        <v>3.1666666666666665</v>
      </c>
      <c r="D44" s="112">
        <f>INDEX('DMA Matrix'!$F$5:$F$34,MATCH($A44,'DMA Matrix'!$A$5:$A$34,0))</f>
        <v>2.8499999999999996</v>
      </c>
      <c r="E44" s="113">
        <f t="shared" si="6"/>
        <v>9.0249999999999986</v>
      </c>
      <c r="F44" s="114">
        <f t="shared" si="7"/>
        <v>25</v>
      </c>
      <c r="G44" s="97" t="str">
        <f t="shared" si="0"/>
        <v>High</v>
      </c>
      <c r="H44" s="97" t="str">
        <f t="shared" si="1"/>
        <v>Tier 3</v>
      </c>
      <c r="I44" s="115">
        <v>11</v>
      </c>
      <c r="J44" s="115" t="s">
        <v>790</v>
      </c>
      <c r="K44" s="115" t="s">
        <v>650</v>
      </c>
      <c r="L44" s="115" t="s">
        <v>250</v>
      </c>
      <c r="M44" s="115" t="s">
        <v>779</v>
      </c>
      <c r="N44" s="115" t="s">
        <v>766</v>
      </c>
      <c r="O44" s="100">
        <f t="shared" si="2"/>
        <v>1</v>
      </c>
      <c r="P44" s="114">
        <f t="shared" si="8"/>
        <v>2</v>
      </c>
      <c r="Q44" s="97" t="str">
        <f t="shared" si="3"/>
        <v>You rate higher</v>
      </c>
      <c r="R44" s="97" t="str">
        <f t="shared" si="4"/>
        <v/>
      </c>
      <c r="S44" s="97" t="str">
        <f t="shared" si="5"/>
        <v>Justify or lower</v>
      </c>
      <c r="T44" s="97" t="s">
        <v>791</v>
      </c>
    </row>
    <row r="45" spans="1:20" ht="27.6" x14ac:dyDescent="0.3">
      <c r="A45" s="97" t="s">
        <v>147</v>
      </c>
      <c r="B45" s="111" t="str">
        <f>INDEX('DMA Matrix'!$C$5:$C$34,MATCH($A45,'DMA Matrix'!$A$5:$A$34,0))</f>
        <v>Diversity &amp; Inclusion</v>
      </c>
      <c r="C45" s="112">
        <f>INDEX('DMA Matrix'!$D$5:$D$34,MATCH($A45,'DMA Matrix'!$A$5:$A$34,0))</f>
        <v>3.1666666666666665</v>
      </c>
      <c r="D45" s="112">
        <f>INDEX('DMA Matrix'!$F$5:$F$34,MATCH($A45,'DMA Matrix'!$A$5:$A$34,0))</f>
        <v>2.8499999999999996</v>
      </c>
      <c r="E45" s="113">
        <f t="shared" si="6"/>
        <v>9.0249999999999986</v>
      </c>
      <c r="F45" s="114">
        <f t="shared" si="7"/>
        <v>25</v>
      </c>
      <c r="G45" s="97" t="str">
        <f t="shared" si="0"/>
        <v>High</v>
      </c>
      <c r="H45" s="97" t="str">
        <f t="shared" si="1"/>
        <v>Tier 3</v>
      </c>
      <c r="I45" s="115">
        <v>10</v>
      </c>
      <c r="J45" s="115" t="s">
        <v>792</v>
      </c>
      <c r="K45" s="115" t="s">
        <v>650</v>
      </c>
      <c r="L45" s="115" t="s">
        <v>250</v>
      </c>
      <c r="M45" s="115" t="s">
        <v>765</v>
      </c>
      <c r="N45" s="115" t="s">
        <v>766</v>
      </c>
      <c r="O45" s="100">
        <f t="shared" si="2"/>
        <v>1</v>
      </c>
      <c r="P45" s="114">
        <f t="shared" si="8"/>
        <v>2</v>
      </c>
      <c r="Q45" s="97" t="str">
        <f t="shared" si="3"/>
        <v>You rate higher</v>
      </c>
      <c r="R45" s="97" t="str">
        <f t="shared" si="4"/>
        <v/>
      </c>
      <c r="S45" s="97" t="str">
        <f t="shared" si="5"/>
        <v>Justify or lower</v>
      </c>
      <c r="T45" s="97" t="s">
        <v>793</v>
      </c>
    </row>
    <row r="46" spans="1:20" ht="27.6" x14ac:dyDescent="0.3">
      <c r="A46" s="97" t="s">
        <v>151</v>
      </c>
      <c r="B46" s="111" t="str">
        <f>INDEX('DMA Matrix'!$C$5:$C$34,MATCH($A46,'DMA Matrix'!$A$5:$A$34,0))</f>
        <v>Talent Development</v>
      </c>
      <c r="C46" s="112">
        <f>INDEX('DMA Matrix'!$D$5:$D$34,MATCH($A46,'DMA Matrix'!$A$5:$A$34,0))</f>
        <v>2.8499999999999996</v>
      </c>
      <c r="D46" s="112">
        <f>INDEX('DMA Matrix'!$F$5:$F$34,MATCH($A46,'DMA Matrix'!$A$5:$A$34,0))</f>
        <v>3.8</v>
      </c>
      <c r="E46" s="113">
        <f t="shared" si="6"/>
        <v>10.829999999999998</v>
      </c>
      <c r="F46" s="114">
        <f t="shared" si="7"/>
        <v>22</v>
      </c>
      <c r="G46" s="97" t="str">
        <f t="shared" si="0"/>
        <v>High</v>
      </c>
      <c r="H46" s="97" t="str">
        <f t="shared" si="1"/>
        <v>Tier 3</v>
      </c>
      <c r="I46" s="115">
        <v>12</v>
      </c>
      <c r="J46" s="115" t="s">
        <v>794</v>
      </c>
      <c r="K46" s="115" t="s">
        <v>250</v>
      </c>
      <c r="L46" s="115" t="s">
        <v>250</v>
      </c>
      <c r="M46" s="115" t="s">
        <v>765</v>
      </c>
      <c r="N46" s="115" t="s">
        <v>766</v>
      </c>
      <c r="O46" s="100">
        <f t="shared" si="2"/>
        <v>0</v>
      </c>
      <c r="P46" s="114">
        <f t="shared" si="8"/>
        <v>3</v>
      </c>
      <c r="Q46" s="97" t="str">
        <f t="shared" si="3"/>
        <v>Aligned</v>
      </c>
      <c r="R46" s="97" t="str">
        <f t="shared" si="4"/>
        <v/>
      </c>
      <c r="S46" s="97" t="str">
        <f t="shared" si="5"/>
        <v>Keep</v>
      </c>
      <c r="T46" s="97" t="str">
        <f>IF(C46&lt;3,"Dashboard headline replaced: the 'only financially-material topic' claim rested on a "&amp;TEXT(3-C46,"0.00")&amp;" gap to the 3.00 threshold.","Now Double Material on your scores; no longer a special case.")</f>
        <v>Dashboard headline replaced: the 'only financially-material topic' claim rested on a 0.15 gap to the 3.00 threshold.</v>
      </c>
    </row>
    <row r="47" spans="1:20" x14ac:dyDescent="0.3">
      <c r="A47" s="97" t="s">
        <v>156</v>
      </c>
      <c r="B47" s="111" t="str">
        <f>INDEX('DMA Matrix'!$C$5:$C$34,MATCH($A47,'DMA Matrix'!$A$5:$A$34,0))</f>
        <v>Labour Relations &amp; Working Conditions</v>
      </c>
      <c r="C47" s="112">
        <f>INDEX('DMA Matrix'!$D$5:$D$34,MATCH($A47,'DMA Matrix'!$A$5:$A$34,0))</f>
        <v>3.4</v>
      </c>
      <c r="D47" s="112">
        <f>INDEX('DMA Matrix'!$F$5:$F$34,MATCH($A47,'DMA Matrix'!$A$5:$A$34,0))</f>
        <v>3.4</v>
      </c>
      <c r="E47" s="113">
        <f t="shared" si="6"/>
        <v>11.559999999999999</v>
      </c>
      <c r="F47" s="114">
        <f t="shared" si="7"/>
        <v>20</v>
      </c>
      <c r="G47" s="97" t="str">
        <f t="shared" si="0"/>
        <v>High</v>
      </c>
      <c r="H47" s="97" t="str">
        <f t="shared" si="1"/>
        <v>Tier 3</v>
      </c>
      <c r="I47" s="115">
        <v>14</v>
      </c>
      <c r="J47" s="115" t="s">
        <v>795</v>
      </c>
      <c r="K47" s="115" t="s">
        <v>250</v>
      </c>
      <c r="L47" s="115" t="s">
        <v>250</v>
      </c>
      <c r="M47" s="115" t="s">
        <v>765</v>
      </c>
      <c r="N47" s="115" t="s">
        <v>766</v>
      </c>
      <c r="O47" s="100">
        <f t="shared" si="2"/>
        <v>0</v>
      </c>
      <c r="P47" s="114">
        <f t="shared" si="8"/>
        <v>3</v>
      </c>
      <c r="Q47" s="97" t="str">
        <f t="shared" si="3"/>
        <v>Aligned</v>
      </c>
      <c r="R47" s="97" t="str">
        <f t="shared" si="4"/>
        <v/>
      </c>
      <c r="S47" s="97" t="str">
        <f t="shared" si="5"/>
        <v>Keep</v>
      </c>
      <c r="T47" s="97"/>
    </row>
    <row r="48" spans="1:20" x14ac:dyDescent="0.3">
      <c r="A48" s="97" t="s">
        <v>160</v>
      </c>
      <c r="B48" s="111" t="str">
        <f>INDEX('DMA Matrix'!$C$5:$C$34,MATCH($A48,'DMA Matrix'!$A$5:$A$34,0))</f>
        <v>Human Rights</v>
      </c>
      <c r="C48" s="112">
        <f>INDEX('DMA Matrix'!$D$5:$D$34,MATCH($A48,'DMA Matrix'!$A$5:$A$34,0))</f>
        <v>3.9666666666666668</v>
      </c>
      <c r="D48" s="112">
        <f>INDEX('DMA Matrix'!$F$5:$F$34,MATCH($A48,'DMA Matrix'!$A$5:$A$34,0))</f>
        <v>3.4</v>
      </c>
      <c r="E48" s="113">
        <f t="shared" si="6"/>
        <v>13.486666666666666</v>
      </c>
      <c r="F48" s="114">
        <f t="shared" si="7"/>
        <v>15</v>
      </c>
      <c r="G48" s="97" t="str">
        <f t="shared" si="0"/>
        <v>High</v>
      </c>
      <c r="H48" s="97" t="str">
        <f t="shared" si="1"/>
        <v>Tier 3</v>
      </c>
      <c r="I48" s="115">
        <v>15</v>
      </c>
      <c r="J48" s="115" t="s">
        <v>162</v>
      </c>
      <c r="K48" s="115" t="s">
        <v>250</v>
      </c>
      <c r="L48" s="115" t="s">
        <v>250</v>
      </c>
      <c r="M48" s="115" t="s">
        <v>765</v>
      </c>
      <c r="N48" s="115" t="s">
        <v>766</v>
      </c>
      <c r="O48" s="100">
        <f t="shared" si="2"/>
        <v>0</v>
      </c>
      <c r="P48" s="114">
        <f t="shared" si="8"/>
        <v>3</v>
      </c>
      <c r="Q48" s="97" t="str">
        <f t="shared" si="3"/>
        <v>Aligned</v>
      </c>
      <c r="R48" s="97" t="str">
        <f t="shared" si="4"/>
        <v/>
      </c>
      <c r="S48" s="97" t="str">
        <f t="shared" si="5"/>
        <v>Keep</v>
      </c>
      <c r="T48" s="97"/>
    </row>
    <row r="49" spans="1:20" x14ac:dyDescent="0.3">
      <c r="A49" s="97" t="s">
        <v>165</v>
      </c>
      <c r="B49" s="111" t="str">
        <f>INDEX('DMA Matrix'!$C$5:$C$34,MATCH($A49,'DMA Matrix'!$A$5:$A$34,0))</f>
        <v>Community Impact</v>
      </c>
      <c r="C49" s="112">
        <f>INDEX('DMA Matrix'!$D$5:$D$34,MATCH($A49,'DMA Matrix'!$A$5:$A$34,0))</f>
        <v>4.1166666666666663</v>
      </c>
      <c r="D49" s="112">
        <f>INDEX('DMA Matrix'!$F$5:$F$34,MATCH($A49,'DMA Matrix'!$A$5:$A$34,0))</f>
        <v>3.4</v>
      </c>
      <c r="E49" s="113">
        <f t="shared" si="6"/>
        <v>13.996666666666664</v>
      </c>
      <c r="F49" s="114">
        <f t="shared" si="7"/>
        <v>14</v>
      </c>
      <c r="G49" s="97" t="str">
        <f t="shared" si="0"/>
        <v>High</v>
      </c>
      <c r="H49" s="97" t="str">
        <f t="shared" si="1"/>
        <v>Tier 3</v>
      </c>
      <c r="I49" s="115">
        <v>17</v>
      </c>
      <c r="J49" s="115" t="s">
        <v>796</v>
      </c>
      <c r="K49" s="115" t="s">
        <v>250</v>
      </c>
      <c r="L49" s="115" t="s">
        <v>250</v>
      </c>
      <c r="M49" s="115" t="s">
        <v>779</v>
      </c>
      <c r="N49" s="115" t="s">
        <v>766</v>
      </c>
      <c r="O49" s="100">
        <f t="shared" si="2"/>
        <v>0</v>
      </c>
      <c r="P49" s="114">
        <f t="shared" si="8"/>
        <v>3</v>
      </c>
      <c r="Q49" s="97" t="str">
        <f t="shared" si="3"/>
        <v>Aligned</v>
      </c>
      <c r="R49" s="97" t="str">
        <f t="shared" si="4"/>
        <v/>
      </c>
      <c r="S49" s="97" t="str">
        <f t="shared" si="5"/>
        <v>Keep</v>
      </c>
      <c r="T49" s="97"/>
    </row>
    <row r="50" spans="1:20" ht="27.6" x14ac:dyDescent="0.3">
      <c r="A50" s="97" t="s">
        <v>170</v>
      </c>
      <c r="B50" s="111" t="str">
        <f>INDEX('DMA Matrix'!$C$5:$C$34,MATCH($A50,'DMA Matrix'!$A$5:$A$34,0))</f>
        <v>Access &amp; Affordability</v>
      </c>
      <c r="C50" s="112">
        <f>INDEX('DMA Matrix'!$D$5:$D$34,MATCH($A50,'DMA Matrix'!$A$5:$A$34,0))</f>
        <v>4.1166666666666663</v>
      </c>
      <c r="D50" s="112">
        <f>INDEX('DMA Matrix'!$F$5:$F$34,MATCH($A50,'DMA Matrix'!$A$5:$A$34,0))</f>
        <v>4.75</v>
      </c>
      <c r="E50" s="113">
        <f t="shared" si="6"/>
        <v>19.554166666666664</v>
      </c>
      <c r="F50" s="114">
        <f t="shared" si="7"/>
        <v>6</v>
      </c>
      <c r="G50" s="97" t="str">
        <f t="shared" si="0"/>
        <v>Very High</v>
      </c>
      <c r="H50" s="97" t="str">
        <f t="shared" si="1"/>
        <v>Tier 1</v>
      </c>
      <c r="I50" s="115">
        <v>9</v>
      </c>
      <c r="J50" s="115" t="s">
        <v>797</v>
      </c>
      <c r="K50" s="115" t="s">
        <v>250</v>
      </c>
      <c r="L50" s="115" t="s">
        <v>250</v>
      </c>
      <c r="M50" s="115" t="s">
        <v>765</v>
      </c>
      <c r="N50" s="115" t="s">
        <v>766</v>
      </c>
      <c r="O50" s="100">
        <f>IF(K50="n/a","",IF(G50="Very High",3,IF(G50="High",2,1))-IF(K50="Very High",3,IF(K50="High",2,1)))</f>
        <v>1</v>
      </c>
      <c r="P50" s="114">
        <f t="shared" si="8"/>
        <v>2</v>
      </c>
      <c r="Q50" s="97" t="str">
        <f t="shared" si="3"/>
        <v>You rate higher</v>
      </c>
      <c r="R50" s="97" t="str">
        <f t="shared" si="4"/>
        <v/>
      </c>
      <c r="S50" s="97" t="str">
        <f t="shared" si="5"/>
        <v>Justify or lower</v>
      </c>
      <c r="T50" s="97" t="s">
        <v>798</v>
      </c>
    </row>
    <row r="51" spans="1:20" x14ac:dyDescent="0.3">
      <c r="A51" s="97" t="s">
        <v>175</v>
      </c>
      <c r="B51" s="111" t="str">
        <f>INDEX('DMA Matrix'!$C$5:$C$34,MATCH($A51,'DMA Matrix'!$A$5:$A$34,0))</f>
        <v>Customer Service &amp; Consumer Protection</v>
      </c>
      <c r="C51" s="112">
        <f>INDEX('DMA Matrix'!$D$5:$D$34,MATCH($A51,'DMA Matrix'!$A$5:$A$34,0))</f>
        <v>3.4833333333333329</v>
      </c>
      <c r="D51" s="112">
        <f>INDEX('DMA Matrix'!$F$5:$F$34,MATCH($A51,'DMA Matrix'!$A$5:$A$34,0))</f>
        <v>3.8</v>
      </c>
      <c r="E51" s="113">
        <f t="shared" si="6"/>
        <v>13.236666666666665</v>
      </c>
      <c r="F51" s="114">
        <f t="shared" si="7"/>
        <v>17</v>
      </c>
      <c r="G51" s="97" t="str">
        <f t="shared" si="0"/>
        <v>High</v>
      </c>
      <c r="H51" s="97" t="str">
        <f t="shared" si="1"/>
        <v>Tier 3</v>
      </c>
      <c r="I51" s="115">
        <v>16</v>
      </c>
      <c r="J51" s="115" t="s">
        <v>799</v>
      </c>
      <c r="K51" s="115" t="s">
        <v>250</v>
      </c>
      <c r="L51" s="115" t="s">
        <v>250</v>
      </c>
      <c r="M51" s="115" t="s">
        <v>765</v>
      </c>
      <c r="N51" s="115" t="s">
        <v>766</v>
      </c>
      <c r="O51" s="100">
        <f t="shared" si="2"/>
        <v>0</v>
      </c>
      <c r="P51" s="114">
        <f t="shared" si="8"/>
        <v>3</v>
      </c>
      <c r="Q51" s="97" t="str">
        <f t="shared" si="3"/>
        <v>Aligned</v>
      </c>
      <c r="R51" s="97" t="str">
        <f t="shared" si="4"/>
        <v/>
      </c>
      <c r="S51" s="97" t="str">
        <f t="shared" si="5"/>
        <v>Keep</v>
      </c>
      <c r="T51" s="97"/>
    </row>
    <row r="52" spans="1:20" x14ac:dyDescent="0.3">
      <c r="A52" s="97" t="s">
        <v>180</v>
      </c>
      <c r="B52" s="111" t="str">
        <f>INDEX('DMA Matrix'!$C$5:$C$34,MATCH($A52,'DMA Matrix'!$A$5:$A$34,0))</f>
        <v>Energy Reliability</v>
      </c>
      <c r="C52" s="112">
        <f>INDEX('DMA Matrix'!$D$5:$D$34,MATCH($A52,'DMA Matrix'!$A$5:$A$34,0))</f>
        <v>4.4333333333333336</v>
      </c>
      <c r="D52" s="112">
        <f>INDEX('DMA Matrix'!$F$5:$F$34,MATCH($A52,'DMA Matrix'!$A$5:$A$34,0))</f>
        <v>5</v>
      </c>
      <c r="E52" s="113">
        <f t="shared" si="6"/>
        <v>22.166666666666668</v>
      </c>
      <c r="F52" s="114">
        <f t="shared" si="7"/>
        <v>4</v>
      </c>
      <c r="G52" s="97" t="str">
        <f t="shared" si="0"/>
        <v>Very High</v>
      </c>
      <c r="H52" s="97" t="str">
        <f t="shared" si="1"/>
        <v>Tier 1</v>
      </c>
      <c r="I52" s="115">
        <v>4</v>
      </c>
      <c r="J52" s="115" t="s">
        <v>800</v>
      </c>
      <c r="K52" s="115" t="s">
        <v>420</v>
      </c>
      <c r="L52" s="115" t="s">
        <v>250</v>
      </c>
      <c r="M52" s="115" t="s">
        <v>779</v>
      </c>
      <c r="N52" s="115" t="s">
        <v>766</v>
      </c>
      <c r="O52" s="100">
        <f t="shared" si="2"/>
        <v>0</v>
      </c>
      <c r="P52" s="114">
        <f t="shared" si="8"/>
        <v>3</v>
      </c>
      <c r="Q52" s="97" t="str">
        <f t="shared" si="3"/>
        <v>Aligned</v>
      </c>
      <c r="R52" s="97" t="str">
        <f t="shared" si="4"/>
        <v/>
      </c>
      <c r="S52" s="97" t="str">
        <f t="shared" si="5"/>
        <v>Keep</v>
      </c>
      <c r="T52" s="97" t="s">
        <v>801</v>
      </c>
    </row>
    <row r="53" spans="1:20" ht="27.6" x14ac:dyDescent="0.3">
      <c r="A53" s="97" t="s">
        <v>185</v>
      </c>
      <c r="B53" s="111" t="str">
        <f>INDEX('DMA Matrix'!$C$5:$C$34,MATCH($A53,'DMA Matrix'!$A$5:$A$34,0))</f>
        <v>Business Ethics — Anti-corruption</v>
      </c>
      <c r="C53" s="112">
        <f>INDEX('DMA Matrix'!$D$5:$D$34,MATCH($A53,'DMA Matrix'!$A$5:$A$34,0))</f>
        <v>3.4</v>
      </c>
      <c r="D53" s="112">
        <f>INDEX('DMA Matrix'!$F$5:$F$34,MATCH($A53,'DMA Matrix'!$A$5:$A$34,0))</f>
        <v>4.25</v>
      </c>
      <c r="E53" s="113">
        <f t="shared" si="6"/>
        <v>14.45</v>
      </c>
      <c r="F53" s="114">
        <f t="shared" si="7"/>
        <v>12</v>
      </c>
      <c r="G53" s="97" t="str">
        <f t="shared" si="0"/>
        <v>High</v>
      </c>
      <c r="H53" s="97" t="str">
        <f t="shared" si="1"/>
        <v>Tier 3</v>
      </c>
      <c r="I53" s="115">
        <v>22</v>
      </c>
      <c r="J53" s="115" t="s">
        <v>802</v>
      </c>
      <c r="K53" s="115" t="s">
        <v>420</v>
      </c>
      <c r="L53" s="115" t="s">
        <v>250</v>
      </c>
      <c r="M53" s="115" t="s">
        <v>765</v>
      </c>
      <c r="N53" s="115" t="s">
        <v>766</v>
      </c>
      <c r="O53" s="100">
        <f t="shared" si="2"/>
        <v>-1</v>
      </c>
      <c r="P53" s="114">
        <f t="shared" si="8"/>
        <v>2</v>
      </c>
      <c r="Q53" s="97" t="str">
        <f t="shared" si="3"/>
        <v>Official rates higher</v>
      </c>
      <c r="R53" s="97" t="str">
        <f t="shared" si="4"/>
        <v>Edge</v>
      </c>
      <c r="S53" s="97" t="str">
        <f t="shared" si="5"/>
        <v>Re-check scoring / raise</v>
      </c>
      <c r="T53" s="97" t="s">
        <v>803</v>
      </c>
    </row>
    <row r="54" spans="1:20" x14ac:dyDescent="0.3">
      <c r="A54" s="97" t="s">
        <v>190</v>
      </c>
      <c r="B54" s="111" t="str">
        <f>INDEX('DMA Matrix'!$C$5:$C$34,MATCH($A54,'DMA Matrix'!$A$5:$A$34,0))</f>
        <v>Regulatory Compliance</v>
      </c>
      <c r="C54" s="112">
        <f>INDEX('DMA Matrix'!$D$5:$D$34,MATCH($A54,'DMA Matrix'!$A$5:$A$34,0))</f>
        <v>4.1166666666666663</v>
      </c>
      <c r="D54" s="112">
        <f>INDEX('DMA Matrix'!$F$5:$F$34,MATCH($A54,'DMA Matrix'!$A$5:$A$34,0))</f>
        <v>4.75</v>
      </c>
      <c r="E54" s="113">
        <f t="shared" si="6"/>
        <v>19.554166666666664</v>
      </c>
      <c r="F54" s="114">
        <f t="shared" si="7"/>
        <v>6</v>
      </c>
      <c r="G54" s="97" t="str">
        <f t="shared" si="0"/>
        <v>Very High</v>
      </c>
      <c r="H54" s="97" t="str">
        <f t="shared" si="1"/>
        <v>Tier 1</v>
      </c>
      <c r="I54" s="115">
        <v>25</v>
      </c>
      <c r="J54" s="115" t="s">
        <v>804</v>
      </c>
      <c r="K54" s="115" t="s">
        <v>250</v>
      </c>
      <c r="L54" s="115" t="s">
        <v>250</v>
      </c>
      <c r="M54" s="115" t="s">
        <v>765</v>
      </c>
      <c r="N54" s="115" t="s">
        <v>766</v>
      </c>
      <c r="O54" s="100">
        <f t="shared" si="2"/>
        <v>1</v>
      </c>
      <c r="P54" s="114">
        <f t="shared" si="8"/>
        <v>2</v>
      </c>
      <c r="Q54" s="97" t="str">
        <f t="shared" si="3"/>
        <v>You rate higher</v>
      </c>
      <c r="R54" s="97" t="str">
        <f t="shared" si="4"/>
        <v/>
      </c>
      <c r="S54" s="97" t="str">
        <f t="shared" si="5"/>
        <v>Justify or lower</v>
      </c>
      <c r="T54" s="97" t="s">
        <v>805</v>
      </c>
    </row>
    <row r="55" spans="1:20" x14ac:dyDescent="0.3">
      <c r="A55" s="97" t="s">
        <v>194</v>
      </c>
      <c r="B55" s="111" t="str">
        <f>INDEX('DMA Matrix'!$C$5:$C$34,MATCH($A55,'DMA Matrix'!$A$5:$A$34,0))</f>
        <v>ESG Governance</v>
      </c>
      <c r="C55" s="112">
        <f>INDEX('DMA Matrix'!$D$5:$D$34,MATCH($A55,'DMA Matrix'!$A$5:$A$34,0))</f>
        <v>4.1166666666666663</v>
      </c>
      <c r="D55" s="112">
        <f>INDEX('DMA Matrix'!$F$5:$F$34,MATCH($A55,'DMA Matrix'!$A$5:$A$34,0))</f>
        <v>3.8</v>
      </c>
      <c r="E55" s="113">
        <f t="shared" si="6"/>
        <v>15.643333333333331</v>
      </c>
      <c r="F55" s="114">
        <f t="shared" si="7"/>
        <v>10</v>
      </c>
      <c r="G55" s="97" t="str">
        <f t="shared" si="0"/>
        <v>Very High</v>
      </c>
      <c r="H55" s="97" t="str">
        <f t="shared" si="1"/>
        <v>Tier 2</v>
      </c>
      <c r="I55" s="115">
        <v>20</v>
      </c>
      <c r="J55" s="115" t="s">
        <v>806</v>
      </c>
      <c r="K55" s="115" t="s">
        <v>420</v>
      </c>
      <c r="L55" s="115" t="s">
        <v>250</v>
      </c>
      <c r="M55" s="115" t="s">
        <v>765</v>
      </c>
      <c r="N55" s="115" t="s">
        <v>766</v>
      </c>
      <c r="O55" s="100">
        <f t="shared" si="2"/>
        <v>0</v>
      </c>
      <c r="P55" s="114">
        <f t="shared" si="8"/>
        <v>3</v>
      </c>
      <c r="Q55" s="97" t="str">
        <f t="shared" si="3"/>
        <v>Aligned</v>
      </c>
      <c r="R55" s="97" t="str">
        <f t="shared" si="4"/>
        <v>Edge</v>
      </c>
      <c r="S55" s="97" t="str">
        <f t="shared" si="5"/>
        <v>Keep</v>
      </c>
      <c r="T55" s="97"/>
    </row>
    <row r="56" spans="1:20" x14ac:dyDescent="0.3">
      <c r="A56" s="97" t="s">
        <v>199</v>
      </c>
      <c r="B56" s="111" t="str">
        <f>INDEX('DMA Matrix'!$C$5:$C$34,MATCH($A56,'DMA Matrix'!$A$5:$A$34,0))</f>
        <v>Risk Management — ESG Risk</v>
      </c>
      <c r="C56" s="112">
        <f>INDEX('DMA Matrix'!$D$5:$D$34,MATCH($A56,'DMA Matrix'!$A$5:$A$34,0))</f>
        <v>4.1166666666666663</v>
      </c>
      <c r="D56" s="112">
        <f>INDEX('DMA Matrix'!$F$5:$F$34,MATCH($A56,'DMA Matrix'!$A$5:$A$34,0))</f>
        <v>4.75</v>
      </c>
      <c r="E56" s="113">
        <f t="shared" si="6"/>
        <v>19.554166666666664</v>
      </c>
      <c r="F56" s="114">
        <f t="shared" si="7"/>
        <v>6</v>
      </c>
      <c r="G56" s="97" t="str">
        <f t="shared" si="0"/>
        <v>Very High</v>
      </c>
      <c r="H56" s="97" t="str">
        <f t="shared" si="1"/>
        <v>Tier 1</v>
      </c>
      <c r="I56" s="115">
        <v>21</v>
      </c>
      <c r="J56" s="115" t="s">
        <v>807</v>
      </c>
      <c r="K56" s="115" t="s">
        <v>250</v>
      </c>
      <c r="L56" s="115" t="s">
        <v>650</v>
      </c>
      <c r="M56" s="115" t="s">
        <v>765</v>
      </c>
      <c r="N56" s="115" t="s">
        <v>766</v>
      </c>
      <c r="O56" s="100">
        <f t="shared" si="2"/>
        <v>1</v>
      </c>
      <c r="P56" s="114">
        <f t="shared" si="8"/>
        <v>2</v>
      </c>
      <c r="Q56" s="97" t="str">
        <f t="shared" si="3"/>
        <v>You rate higher</v>
      </c>
      <c r="R56" s="97" t="str">
        <f t="shared" si="4"/>
        <v/>
      </c>
      <c r="S56" s="97" t="str">
        <f t="shared" si="5"/>
        <v>Justify or lower</v>
      </c>
      <c r="T56" s="97" t="s">
        <v>808</v>
      </c>
    </row>
    <row r="57" spans="1:20" ht="27.6" x14ac:dyDescent="0.3">
      <c r="A57" s="97" t="s">
        <v>203</v>
      </c>
      <c r="B57" s="111" t="str">
        <f>INDEX('DMA Matrix'!$C$5:$C$34,MATCH($A57,'DMA Matrix'!$A$5:$A$34,0))</f>
        <v>Cybersecurity — Cyber Risk</v>
      </c>
      <c r="C57" s="112">
        <f>INDEX('DMA Matrix'!$D$5:$D$34,MATCH($A57,'DMA Matrix'!$A$5:$A$34,0))</f>
        <v>4.75</v>
      </c>
      <c r="D57" s="112">
        <f>INDEX('DMA Matrix'!$F$5:$F$34,MATCH($A57,'DMA Matrix'!$A$5:$A$34,0))</f>
        <v>4.75</v>
      </c>
      <c r="E57" s="113">
        <f t="shared" si="6"/>
        <v>22.5625</v>
      </c>
      <c r="F57" s="114">
        <f t="shared" si="7"/>
        <v>3</v>
      </c>
      <c r="G57" s="97" t="str">
        <f t="shared" si="0"/>
        <v>Very High</v>
      </c>
      <c r="H57" s="97" t="str">
        <f t="shared" si="1"/>
        <v>Tier 1</v>
      </c>
      <c r="I57" s="115">
        <v>24</v>
      </c>
      <c r="J57" s="115" t="s">
        <v>809</v>
      </c>
      <c r="K57" s="115" t="s">
        <v>420</v>
      </c>
      <c r="L57" s="115" t="s">
        <v>250</v>
      </c>
      <c r="M57" s="115" t="s">
        <v>769</v>
      </c>
      <c r="N57" s="115" t="s">
        <v>766</v>
      </c>
      <c r="O57" s="100">
        <f t="shared" si="2"/>
        <v>0</v>
      </c>
      <c r="P57" s="114">
        <f t="shared" si="8"/>
        <v>3</v>
      </c>
      <c r="Q57" s="97" t="str">
        <f t="shared" si="3"/>
        <v>Aligned</v>
      </c>
      <c r="R57" s="97" t="str">
        <f t="shared" si="4"/>
        <v/>
      </c>
      <c r="S57" s="97" t="str">
        <f t="shared" si="5"/>
        <v>Keep</v>
      </c>
      <c r="T57" s="97" t="s">
        <v>810</v>
      </c>
    </row>
    <row r="58" spans="1:20" ht="27.6" x14ac:dyDescent="0.3">
      <c r="A58" s="97" t="s">
        <v>208</v>
      </c>
      <c r="B58" s="111" t="str">
        <f>INDEX('DMA Matrix'!$C$5:$C$34,MATCH($A58,'DMA Matrix'!$A$5:$A$34,0))</f>
        <v>Data Privacy</v>
      </c>
      <c r="C58" s="112">
        <f>INDEX('DMA Matrix'!$D$5:$D$34,MATCH($A58,'DMA Matrix'!$A$5:$A$34,0))</f>
        <v>3.6833333333333331</v>
      </c>
      <c r="D58" s="112">
        <f>INDEX('DMA Matrix'!$F$5:$F$34,MATCH($A58,'DMA Matrix'!$A$5:$A$34,0))</f>
        <v>3.4</v>
      </c>
      <c r="E58" s="113">
        <f t="shared" si="6"/>
        <v>12.523333333333332</v>
      </c>
      <c r="F58" s="114">
        <f t="shared" si="7"/>
        <v>19</v>
      </c>
      <c r="G58" s="97" t="str">
        <f t="shared" si="0"/>
        <v>High</v>
      </c>
      <c r="H58" s="97" t="str">
        <f t="shared" si="1"/>
        <v>Tier 3</v>
      </c>
      <c r="I58" s="115">
        <v>24</v>
      </c>
      <c r="J58" s="115" t="s">
        <v>809</v>
      </c>
      <c r="K58" s="115" t="s">
        <v>420</v>
      </c>
      <c r="L58" s="115" t="s">
        <v>250</v>
      </c>
      <c r="M58" s="115" t="s">
        <v>769</v>
      </c>
      <c r="N58" s="115" t="s">
        <v>772</v>
      </c>
      <c r="O58" s="100">
        <f t="shared" si="2"/>
        <v>-1</v>
      </c>
      <c r="P58" s="114" t="str">
        <f t="shared" si="8"/>
        <v/>
      </c>
      <c r="Q58" s="97" t="str">
        <f t="shared" si="3"/>
        <v>Official rates higher</v>
      </c>
      <c r="R58" s="97" t="str">
        <f t="shared" si="4"/>
        <v/>
      </c>
      <c r="S58" s="97" t="str">
        <f t="shared" si="5"/>
        <v>Re-check scoring / raise</v>
      </c>
      <c r="T58" s="97" t="s">
        <v>811</v>
      </c>
    </row>
    <row r="59" spans="1:20" x14ac:dyDescent="0.3">
      <c r="A59" s="97" t="s">
        <v>212</v>
      </c>
      <c r="B59" s="111" t="str">
        <f>INDEX('DMA Matrix'!$C$5:$C$34,MATCH($A59,'DMA Matrix'!$A$5:$A$34,0))</f>
        <v>Responsible Supply Chain</v>
      </c>
      <c r="C59" s="112">
        <f>INDEX('DMA Matrix'!$D$5:$D$34,MATCH($A59,'DMA Matrix'!$A$5:$A$34,0))</f>
        <v>3.4</v>
      </c>
      <c r="D59" s="112">
        <f>INDEX('DMA Matrix'!$F$5:$F$34,MATCH($A59,'DMA Matrix'!$A$5:$A$34,0))</f>
        <v>3.4</v>
      </c>
      <c r="E59" s="113">
        <f t="shared" si="6"/>
        <v>11.559999999999999</v>
      </c>
      <c r="F59" s="114">
        <f t="shared" si="7"/>
        <v>20</v>
      </c>
      <c r="G59" s="97" t="str">
        <f t="shared" si="0"/>
        <v>High</v>
      </c>
      <c r="H59" s="97" t="str">
        <f t="shared" si="1"/>
        <v>Tier 3</v>
      </c>
      <c r="I59" s="115">
        <v>18</v>
      </c>
      <c r="J59" s="115" t="s">
        <v>812</v>
      </c>
      <c r="K59" s="115" t="s">
        <v>250</v>
      </c>
      <c r="L59" s="115" t="s">
        <v>414</v>
      </c>
      <c r="M59" s="115" t="s">
        <v>765</v>
      </c>
      <c r="N59" s="115" t="s">
        <v>766</v>
      </c>
      <c r="O59" s="100">
        <f t="shared" si="2"/>
        <v>0</v>
      </c>
      <c r="P59" s="114">
        <f t="shared" si="8"/>
        <v>3</v>
      </c>
      <c r="Q59" s="97" t="str">
        <f t="shared" si="3"/>
        <v>Aligned</v>
      </c>
      <c r="R59" s="97" t="str">
        <f t="shared" si="4"/>
        <v/>
      </c>
      <c r="S59" s="97" t="str">
        <f t="shared" si="5"/>
        <v>Keep</v>
      </c>
      <c r="T59" s="97" t="s">
        <v>813</v>
      </c>
    </row>
    <row r="60" spans="1:20" x14ac:dyDescent="0.3">
      <c r="A60" s="97" t="s">
        <v>217</v>
      </c>
      <c r="B60" s="111" t="str">
        <f>INDEX('DMA Matrix'!$C$5:$C$34,MATCH($A60,'DMA Matrix'!$A$5:$A$34,0))</f>
        <v>Transparency &amp; Accountability</v>
      </c>
      <c r="C60" s="112">
        <f>INDEX('DMA Matrix'!$D$5:$D$34,MATCH($A60,'DMA Matrix'!$A$5:$A$34,0))</f>
        <v>3.1166666666666663</v>
      </c>
      <c r="D60" s="112">
        <f>INDEX('DMA Matrix'!$F$5:$F$34,MATCH($A60,'DMA Matrix'!$A$5:$A$34,0))</f>
        <v>2.5499999999999998</v>
      </c>
      <c r="E60" s="113">
        <f t="shared" si="6"/>
        <v>7.947499999999998</v>
      </c>
      <c r="F60" s="114">
        <f t="shared" si="7"/>
        <v>29</v>
      </c>
      <c r="G60" s="97" t="str">
        <f t="shared" si="0"/>
        <v>Medium</v>
      </c>
      <c r="H60" s="97" t="str">
        <f t="shared" si="1"/>
        <v>Tier 3</v>
      </c>
      <c r="I60" s="115">
        <v>23</v>
      </c>
      <c r="J60" s="115" t="s">
        <v>814</v>
      </c>
      <c r="K60" s="115" t="s">
        <v>250</v>
      </c>
      <c r="L60" s="115" t="s">
        <v>250</v>
      </c>
      <c r="M60" s="115" t="s">
        <v>765</v>
      </c>
      <c r="N60" s="115" t="s">
        <v>766</v>
      </c>
      <c r="O60" s="100">
        <f t="shared" si="2"/>
        <v>-1</v>
      </c>
      <c r="P60" s="114">
        <f t="shared" si="8"/>
        <v>2</v>
      </c>
      <c r="Q60" s="97" t="str">
        <f t="shared" si="3"/>
        <v>Official rates higher</v>
      </c>
      <c r="R60" s="97" t="str">
        <f t="shared" si="4"/>
        <v/>
      </c>
      <c r="S60" s="97" t="str">
        <f t="shared" si="5"/>
        <v>Re-check scoring / raise</v>
      </c>
      <c r="T60" s="97" t="s">
        <v>815</v>
      </c>
    </row>
    <row r="61" spans="1:20" ht="27.6" x14ac:dyDescent="0.3">
      <c r="A61" s="97" t="s">
        <v>221</v>
      </c>
      <c r="B61" s="111" t="str">
        <f>INDEX('DMA Matrix'!$C$5:$C$34,MATCH($A61,'DMA Matrix'!$A$5:$A$34,0))</f>
        <v>Innovation — Clean Technology</v>
      </c>
      <c r="C61" s="112">
        <f>INDEX('DMA Matrix'!$D$5:$D$34,MATCH($A61,'DMA Matrix'!$A$5:$A$34,0))</f>
        <v>3.8</v>
      </c>
      <c r="D61" s="112">
        <f>INDEX('DMA Matrix'!$F$5:$F$34,MATCH($A61,'DMA Matrix'!$A$5:$A$34,0))</f>
        <v>4.75</v>
      </c>
      <c r="E61" s="113">
        <f t="shared" si="6"/>
        <v>18.05</v>
      </c>
      <c r="F61" s="114">
        <f t="shared" si="7"/>
        <v>9</v>
      </c>
      <c r="G61" s="97" t="str">
        <f t="shared" si="0"/>
        <v>Very High</v>
      </c>
      <c r="H61" s="97" t="str">
        <f t="shared" si="1"/>
        <v>Tier 2</v>
      </c>
      <c r="I61" s="115">
        <v>27</v>
      </c>
      <c r="J61" s="115" t="s">
        <v>816</v>
      </c>
      <c r="K61" s="115" t="s">
        <v>250</v>
      </c>
      <c r="L61" s="115" t="s">
        <v>250</v>
      </c>
      <c r="M61" s="115" t="s">
        <v>779</v>
      </c>
      <c r="N61" s="115" t="s">
        <v>766</v>
      </c>
      <c r="O61" s="100">
        <f t="shared" si="2"/>
        <v>1</v>
      </c>
      <c r="P61" s="114">
        <f t="shared" si="8"/>
        <v>2</v>
      </c>
      <c r="Q61" s="97" t="str">
        <f t="shared" si="3"/>
        <v>You rate higher</v>
      </c>
      <c r="R61" s="97" t="str">
        <f t="shared" si="4"/>
        <v/>
      </c>
      <c r="S61" s="97" t="str">
        <f t="shared" si="5"/>
        <v>Justify or lower</v>
      </c>
      <c r="T61" s="97" t="s">
        <v>817</v>
      </c>
    </row>
    <row r="62" spans="1:20" ht="27.6" x14ac:dyDescent="0.3">
      <c r="A62" s="97" t="s">
        <v>226</v>
      </c>
      <c r="B62" s="111" t="str">
        <f>INDEX('DMA Matrix'!$C$5:$C$34,MATCH($A62,'DMA Matrix'!$A$5:$A$34,0))</f>
        <v>Creating Economic Value</v>
      </c>
      <c r="C62" s="112">
        <f>INDEX('DMA Matrix'!$D$5:$D$34,MATCH($A62,'DMA Matrix'!$A$5:$A$34,0))</f>
        <v>3.1166666666666663</v>
      </c>
      <c r="D62" s="112">
        <f>INDEX('DMA Matrix'!$F$5:$F$34,MATCH($A62,'DMA Matrix'!$A$5:$A$34,0))</f>
        <v>3.4</v>
      </c>
      <c r="E62" s="113">
        <f t="shared" si="6"/>
        <v>10.596666666666666</v>
      </c>
      <c r="F62" s="114">
        <f t="shared" si="7"/>
        <v>23</v>
      </c>
      <c r="G62" s="97" t="str">
        <f t="shared" si="0"/>
        <v>High</v>
      </c>
      <c r="H62" s="97" t="str">
        <f t="shared" si="1"/>
        <v>Tier 3</v>
      </c>
      <c r="I62" s="115">
        <v>19</v>
      </c>
      <c r="J62" s="115" t="s">
        <v>818</v>
      </c>
      <c r="K62" s="115" t="s">
        <v>420</v>
      </c>
      <c r="L62" s="115" t="s">
        <v>250</v>
      </c>
      <c r="M62" s="115" t="s">
        <v>779</v>
      </c>
      <c r="N62" s="115" t="s">
        <v>766</v>
      </c>
      <c r="O62" s="100">
        <f t="shared" si="2"/>
        <v>-1</v>
      </c>
      <c r="P62" s="114">
        <f t="shared" si="8"/>
        <v>2</v>
      </c>
      <c r="Q62" s="97" t="str">
        <f t="shared" si="3"/>
        <v>Official rates higher</v>
      </c>
      <c r="R62" s="97" t="str">
        <f t="shared" si="4"/>
        <v/>
      </c>
      <c r="S62" s="97" t="str">
        <f t="shared" si="5"/>
        <v>Re-check scoring / raise</v>
      </c>
      <c r="T62" s="97" t="str">
        <f>"Relabelled to the official 'Creating economic value'. Official is Very High; you score "&amp;TEXT(C62,"0.00")&amp;" impact / "&amp;TEXT(D62,"0.00")&amp;" financial."</f>
        <v>Relabelled to the official 'Creating economic value'. Official is Very High; you score 3.12 impact / 3.40 financial.</v>
      </c>
    </row>
  </sheetData>
  <mergeCells count="4">
    <mergeCell ref="A3:I4"/>
    <mergeCell ref="B20:C20"/>
    <mergeCell ref="A1:I1"/>
    <mergeCell ref="A2:I2"/>
  </mergeCells>
  <dataValidations count="1">
    <dataValidation type="list" allowBlank="1" sqref="N33:N62" xr:uid="{00000000-0002-0000-0C00-000001000000}">
      <formula1>"Y,N"</formula1>
      <formula2>0</formula2>
    </dataValidation>
  </dataValidations>
  <pageMargins left="0.75" right="0.75" top="1" bottom="1" header="0.5" footer="0.5"/>
  <pageSetup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55A11"/>
    <pageSetUpPr fitToPage="1"/>
  </sheetPr>
  <dimension ref="A1:G24"/>
  <sheetViews>
    <sheetView showGridLines="0" topLeftCell="A4" workbookViewId="0">
      <selection activeCell="C10" sqref="C10"/>
    </sheetView>
  </sheetViews>
  <sheetFormatPr defaultColWidth="8.6640625" defaultRowHeight="14.4" x14ac:dyDescent="0.3"/>
  <cols>
    <col min="1" max="1" width="15.5546875" customWidth="1"/>
    <col min="2" max="2" width="34" customWidth="1"/>
    <col min="3" max="3" width="28" customWidth="1"/>
    <col min="4" max="4" width="24.6640625" customWidth="1"/>
    <col min="5" max="5" width="58" customWidth="1"/>
    <col min="6" max="6" width="24" customWidth="1"/>
    <col min="7" max="7" width="11" customWidth="1"/>
  </cols>
  <sheetData>
    <row r="1" spans="1:7" ht="21" x14ac:dyDescent="0.4">
      <c r="A1" s="179" t="s">
        <v>868</v>
      </c>
      <c r="B1" s="179"/>
      <c r="C1" s="179"/>
      <c r="D1" s="179"/>
      <c r="E1" s="179"/>
      <c r="F1" s="179"/>
      <c r="G1" s="179"/>
    </row>
    <row r="2" spans="1:7" x14ac:dyDescent="0.3">
      <c r="A2" s="180" t="s">
        <v>819</v>
      </c>
      <c r="B2" s="181"/>
      <c r="C2" s="181"/>
      <c r="D2" s="181"/>
      <c r="E2" s="181"/>
      <c r="F2" s="181"/>
      <c r="G2" s="182"/>
    </row>
    <row r="4" spans="1:7" x14ac:dyDescent="0.3">
      <c r="C4" s="94" t="s">
        <v>820</v>
      </c>
      <c r="D4" s="95">
        <v>0.8</v>
      </c>
    </row>
    <row r="5" spans="1:7" x14ac:dyDescent="0.3">
      <c r="C5" s="94" t="s">
        <v>821</v>
      </c>
      <c r="D5" s="95">
        <v>0.65</v>
      </c>
    </row>
    <row r="6" spans="1:7" x14ac:dyDescent="0.3">
      <c r="C6" s="94" t="s">
        <v>822</v>
      </c>
      <c r="D6" s="95">
        <v>0.5</v>
      </c>
    </row>
    <row r="8" spans="1:7" x14ac:dyDescent="0.3">
      <c r="A8" s="96" t="s">
        <v>19</v>
      </c>
      <c r="B8" s="96" t="s">
        <v>823</v>
      </c>
      <c r="C8" s="96" t="s">
        <v>824</v>
      </c>
      <c r="D8" s="96" t="s">
        <v>825</v>
      </c>
      <c r="E8" s="96" t="s">
        <v>826</v>
      </c>
      <c r="F8" s="96" t="s">
        <v>869</v>
      </c>
      <c r="G8" s="96" t="s">
        <v>870</v>
      </c>
    </row>
    <row r="9" spans="1:7" x14ac:dyDescent="0.3">
      <c r="A9" s="97">
        <v>1</v>
      </c>
      <c r="B9" s="98" t="s">
        <v>827</v>
      </c>
      <c r="C9" s="97" t="s">
        <v>828</v>
      </c>
      <c r="D9" s="99">
        <v>2</v>
      </c>
      <c r="E9" s="97" t="s">
        <v>829</v>
      </c>
      <c r="F9" s="99">
        <v>1</v>
      </c>
      <c r="G9" s="100">
        <f t="shared" ref="G9:G21" si="0">F9-D9</f>
        <v>-1</v>
      </c>
    </row>
    <row r="10" spans="1:7" ht="27.6" x14ac:dyDescent="0.3">
      <c r="A10" s="97">
        <v>2</v>
      </c>
      <c r="B10" s="98" t="s">
        <v>830</v>
      </c>
      <c r="C10" s="97" t="s">
        <v>831</v>
      </c>
      <c r="D10" s="99">
        <v>2</v>
      </c>
      <c r="E10" s="97" t="s">
        <v>832</v>
      </c>
      <c r="F10" s="99">
        <v>2</v>
      </c>
      <c r="G10" s="100">
        <f t="shared" si="0"/>
        <v>0</v>
      </c>
    </row>
    <row r="11" spans="1:7" ht="27.6" x14ac:dyDescent="0.3">
      <c r="A11" s="97">
        <v>3</v>
      </c>
      <c r="B11" s="98" t="s">
        <v>833</v>
      </c>
      <c r="C11" s="97" t="s">
        <v>834</v>
      </c>
      <c r="D11" s="99">
        <v>2</v>
      </c>
      <c r="E11" s="97" t="s">
        <v>835</v>
      </c>
      <c r="F11" s="99">
        <v>1</v>
      </c>
      <c r="G11" s="100">
        <f t="shared" si="0"/>
        <v>-1</v>
      </c>
    </row>
    <row r="12" spans="1:7" ht="27.6" x14ac:dyDescent="0.3">
      <c r="A12" s="97">
        <v>4</v>
      </c>
      <c r="B12" s="98" t="s">
        <v>836</v>
      </c>
      <c r="C12" s="97" t="s">
        <v>837</v>
      </c>
      <c r="D12" s="99">
        <v>1</v>
      </c>
      <c r="E12" s="97" t="s">
        <v>838</v>
      </c>
      <c r="F12" s="99">
        <v>0</v>
      </c>
      <c r="G12" s="100">
        <f t="shared" si="0"/>
        <v>-1</v>
      </c>
    </row>
    <row r="13" spans="1:7" ht="27.6" x14ac:dyDescent="0.3">
      <c r="A13" s="97">
        <v>5</v>
      </c>
      <c r="B13" s="98" t="s">
        <v>839</v>
      </c>
      <c r="C13" s="97" t="s">
        <v>840</v>
      </c>
      <c r="D13" s="99">
        <v>0</v>
      </c>
      <c r="E13" s="97" t="s">
        <v>841</v>
      </c>
      <c r="F13" s="99">
        <v>2</v>
      </c>
      <c r="G13" s="100">
        <f t="shared" si="0"/>
        <v>2</v>
      </c>
    </row>
    <row r="14" spans="1:7" x14ac:dyDescent="0.3">
      <c r="A14" s="97">
        <v>6</v>
      </c>
      <c r="B14" s="98" t="s">
        <v>842</v>
      </c>
      <c r="C14" s="97" t="s">
        <v>843</v>
      </c>
      <c r="D14" s="99">
        <v>1</v>
      </c>
      <c r="E14" s="97" t="s">
        <v>844</v>
      </c>
      <c r="F14" s="99">
        <v>2</v>
      </c>
      <c r="G14" s="100">
        <f t="shared" si="0"/>
        <v>1</v>
      </c>
    </row>
    <row r="15" spans="1:7" ht="27.6" x14ac:dyDescent="0.3">
      <c r="A15" s="97">
        <v>7</v>
      </c>
      <c r="B15" s="98" t="s">
        <v>845</v>
      </c>
      <c r="C15" s="97" t="s">
        <v>846</v>
      </c>
      <c r="D15" s="99">
        <v>1</v>
      </c>
      <c r="E15" s="97" t="s">
        <v>847</v>
      </c>
      <c r="F15" s="99">
        <v>2</v>
      </c>
      <c r="G15" s="100">
        <f t="shared" si="0"/>
        <v>1</v>
      </c>
    </row>
    <row r="16" spans="1:7" ht="27.6" x14ac:dyDescent="0.3">
      <c r="A16" s="97">
        <v>8</v>
      </c>
      <c r="B16" s="98" t="s">
        <v>848</v>
      </c>
      <c r="C16" s="97" t="s">
        <v>849</v>
      </c>
      <c r="D16" s="99">
        <v>1</v>
      </c>
      <c r="E16" s="97" t="s">
        <v>850</v>
      </c>
      <c r="F16" s="99">
        <v>1</v>
      </c>
      <c r="G16" s="100">
        <f t="shared" si="0"/>
        <v>0</v>
      </c>
    </row>
    <row r="17" spans="1:7" ht="41.4" x14ac:dyDescent="0.3">
      <c r="A17" s="97">
        <v>9</v>
      </c>
      <c r="B17" s="98" t="s">
        <v>851</v>
      </c>
      <c r="C17" s="97" t="s">
        <v>852</v>
      </c>
      <c r="D17" s="99">
        <v>1</v>
      </c>
      <c r="E17" s="97" t="s">
        <v>853</v>
      </c>
      <c r="F17" s="99">
        <v>0</v>
      </c>
      <c r="G17" s="100">
        <f t="shared" si="0"/>
        <v>-1</v>
      </c>
    </row>
    <row r="18" spans="1:7" ht="27.6" x14ac:dyDescent="0.3">
      <c r="A18" s="97">
        <v>10</v>
      </c>
      <c r="B18" s="98" t="s">
        <v>854</v>
      </c>
      <c r="C18" s="97" t="s">
        <v>855</v>
      </c>
      <c r="D18" s="99">
        <v>2</v>
      </c>
      <c r="E18" s="97" t="s">
        <v>856</v>
      </c>
      <c r="F18" s="99">
        <v>0</v>
      </c>
      <c r="G18" s="100">
        <f t="shared" si="0"/>
        <v>-2</v>
      </c>
    </row>
    <row r="19" spans="1:7" x14ac:dyDescent="0.3">
      <c r="A19" s="97">
        <v>11</v>
      </c>
      <c r="B19" s="98" t="s">
        <v>857</v>
      </c>
      <c r="C19" s="97" t="s">
        <v>858</v>
      </c>
      <c r="D19" s="99">
        <v>2</v>
      </c>
      <c r="E19" s="97" t="s">
        <v>859</v>
      </c>
      <c r="F19" s="99">
        <v>0</v>
      </c>
      <c r="G19" s="100">
        <f t="shared" si="0"/>
        <v>-2</v>
      </c>
    </row>
    <row r="20" spans="1:7" ht="27.6" x14ac:dyDescent="0.3">
      <c r="A20" s="97">
        <v>12</v>
      </c>
      <c r="B20" s="98" t="s">
        <v>860</v>
      </c>
      <c r="C20" s="97" t="s">
        <v>861</v>
      </c>
      <c r="D20" s="99">
        <v>1</v>
      </c>
      <c r="E20" s="97" t="s">
        <v>862</v>
      </c>
      <c r="F20" s="99">
        <v>2</v>
      </c>
      <c r="G20" s="100">
        <f t="shared" si="0"/>
        <v>1</v>
      </c>
    </row>
    <row r="21" spans="1:7" x14ac:dyDescent="0.3">
      <c r="A21" s="9"/>
      <c r="B21" s="101" t="s">
        <v>863</v>
      </c>
      <c r="C21" s="9"/>
      <c r="D21" s="102">
        <f>SUM(D9:D20)</f>
        <v>16</v>
      </c>
      <c r="E21" s="9"/>
      <c r="F21" s="102">
        <f>SUM(F9:F20)</f>
        <v>13</v>
      </c>
      <c r="G21" s="103">
        <f t="shared" si="0"/>
        <v>-3</v>
      </c>
    </row>
    <row r="22" spans="1:7" x14ac:dyDescent="0.3">
      <c r="A22" s="9"/>
      <c r="B22" s="101" t="s">
        <v>864</v>
      </c>
      <c r="C22" s="9"/>
      <c r="D22" s="104">
        <f>D21/(2*COUNT(D9:D20))</f>
        <v>0.66666666666666663</v>
      </c>
      <c r="E22" s="9"/>
      <c r="F22" s="104">
        <f>F21/(2*COUNT(F9:F20))</f>
        <v>0.54166666666666663</v>
      </c>
      <c r="G22" s="9"/>
    </row>
    <row r="23" spans="1:7" x14ac:dyDescent="0.3">
      <c r="A23" s="9"/>
      <c r="B23" s="101" t="s">
        <v>865</v>
      </c>
      <c r="C23" s="9"/>
      <c r="D23" s="105" t="str">
        <f>IF(D22&gt;=$D$4,"A",IF(D22&gt;=$D$5,"B",IF(D22&gt;=$D$6,"C","D")))</f>
        <v>B</v>
      </c>
      <c r="E23" s="9"/>
      <c r="F23" s="105" t="str">
        <f>IF(F22&gt;=$D$4,"A",IF(F22&gt;=$D$5,"B",IF(F22&gt;=$D$6,"C","D")))</f>
        <v>C</v>
      </c>
      <c r="G23" s="9"/>
    </row>
    <row r="24" spans="1:7" ht="27.6" x14ac:dyDescent="0.3">
      <c r="A24" s="9"/>
      <c r="B24" s="101" t="s">
        <v>866</v>
      </c>
      <c r="C24" s="9"/>
      <c r="D24" s="9"/>
      <c r="E24" s="106" t="s">
        <v>867</v>
      </c>
      <c r="F24" s="9"/>
      <c r="G24" s="9"/>
    </row>
  </sheetData>
  <mergeCells count="2">
    <mergeCell ref="A1:G1"/>
    <mergeCell ref="A2:G2"/>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Company Context</vt:lpstr>
      <vt:lpstr>ESG Issue Universe</vt:lpstr>
      <vt:lpstr>Evidence Database</vt:lpstr>
      <vt:lpstr>Scoring Methodology</vt:lpstr>
      <vt:lpstr>Impact Scoring</vt:lpstr>
      <vt:lpstr>Financial Methodology</vt:lpstr>
      <vt:lpstr>Financial Scoring</vt:lpstr>
      <vt:lpstr>DMA Matrix</vt:lpstr>
      <vt:lpstr>IRO &amp; Recommendations</vt:lpstr>
      <vt:lpstr>Benchmark</vt:lpstr>
      <vt:lpstr>DMA Quality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 Tripathi</dc:creator>
  <cp:lastModifiedBy>Anuj Tripathi</cp:lastModifiedBy>
  <dcterms:created xsi:type="dcterms:W3CDTF">2026-09-16T13:55:51Z</dcterms:created>
  <dcterms:modified xsi:type="dcterms:W3CDTF">2026-09-28T08:42:47Z</dcterms:modified>
</cp:coreProperties>
</file>